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checkCompatibility="1" defaultThemeVersion="124226"/>
  <bookViews>
    <workbookView xWindow="-120" yWindow="-120" windowWidth="20730" windowHeight="11760" firstSheet="64" activeTab="69"/>
  </bookViews>
  <sheets>
    <sheet name="DICIEMBRE 2020" sheetId="106" r:id="rId1"/>
    <sheet name="NOVIEMBRE 2020" sheetId="105" r:id="rId2"/>
    <sheet name="AGUINALDO 2020 " sheetId="110" r:id="rId3"/>
    <sheet name="AGUINALDO 2020 INT" sheetId="111" r:id="rId4"/>
    <sheet name="ENERO 2021" sheetId="112" r:id="rId5"/>
    <sheet name="FEBRERO 2021" sheetId="114" r:id="rId6"/>
    <sheet name="MARZO 2021" sheetId="115" r:id="rId7"/>
    <sheet name="ABRIL 2021" sheetId="117" r:id="rId8"/>
    <sheet name="RETROACTIVO DE ENERO A ABRIL 21" sheetId="118" r:id="rId9"/>
    <sheet name="MAYO 2021" sheetId="119" r:id="rId10"/>
    <sheet name="RETROACTIVO DE ENERO A ABRI (2)" sheetId="120" r:id="rId11"/>
    <sheet name="JUNIO 2021" sheetId="121" r:id="rId12"/>
    <sheet name="JULIO 2021" sheetId="122" r:id="rId13"/>
    <sheet name="AGOSTO 2021" sheetId="123" r:id="rId14"/>
    <sheet name="SEPTIEMBRE 2021" sheetId="124" r:id="rId15"/>
    <sheet name="OCTUBRE 2021" sheetId="125" r:id="rId16"/>
    <sheet name="NOVIEMBRE 2021" sheetId="127" r:id="rId17"/>
    <sheet name="AGUINALDO" sheetId="128" r:id="rId18"/>
    <sheet name="DICIEMBRE 2021 " sheetId="129" r:id="rId19"/>
    <sheet name="ENERO 2022" sheetId="130" r:id="rId20"/>
    <sheet name="FEBRERO 2022" sheetId="131" r:id="rId21"/>
    <sheet name="MARZO 2022" sheetId="134" r:id="rId22"/>
    <sheet name="ABRIL 2022" sheetId="136" r:id="rId23"/>
    <sheet name="MAYO 2022" sheetId="137" r:id="rId24"/>
    <sheet name="RETROACTIVO ENERO-ABRI 2022" sheetId="141" r:id="rId25"/>
    <sheet name="JUNIO 2022" sheetId="142" r:id="rId26"/>
    <sheet name="JULIO 2022" sheetId="144" r:id="rId27"/>
    <sheet name="AGOSTO 2022" sheetId="145" r:id="rId28"/>
    <sheet name="SEPTIEMBRE 2022" sheetId="146" r:id="rId29"/>
    <sheet name="OCTUBRE 2022" sheetId="147" r:id="rId30"/>
    <sheet name="NOVIEMBRE 2022" sheetId="152" r:id="rId31"/>
    <sheet name="AGUINALDO 2022" sheetId="153" r:id="rId32"/>
    <sheet name="DICIEMBRE 2022" sheetId="155" r:id="rId33"/>
    <sheet name="ENERO 2023" sheetId="156" r:id="rId34"/>
    <sheet name="FEBRERO 2023" sheetId="157" r:id="rId35"/>
    <sheet name="MARZO 2023" sheetId="158" r:id="rId36"/>
    <sheet name="ABRIL 2023" sheetId="159" r:id="rId37"/>
    <sheet name="RETROACTIVO DE ENERO A ABRIL 23" sheetId="162" r:id="rId38"/>
    <sheet name="MAYO 2023" sheetId="161" r:id="rId39"/>
    <sheet name="JUNIO 2023" sheetId="163" r:id="rId40"/>
    <sheet name="JULIO 2023" sheetId="164" r:id="rId41"/>
    <sheet name="AGOSTO 2023" sheetId="165" r:id="rId42"/>
    <sheet name="SEPTIEMBRE 2023" sheetId="166" r:id="rId43"/>
    <sheet name="OCTUBRE 2023" sheetId="167" r:id="rId44"/>
    <sheet name="NOVIEMBRE 2023" sheetId="168" r:id="rId45"/>
    <sheet name="AGUINALDO 2023" sheetId="169" r:id="rId46"/>
    <sheet name="DICIEMBRE 2023" sheetId="170" r:id="rId47"/>
    <sheet name="ENERO 2024" sheetId="171" r:id="rId48"/>
    <sheet name="FEBRERO 2024" sheetId="172" r:id="rId49"/>
    <sheet name="MARZO 2024" sheetId="173" r:id="rId50"/>
    <sheet name="ABRIL 2024" sheetId="174" r:id="rId51"/>
    <sheet name="RETROCTIVO DE ENRO A ABRIL" sheetId="175" r:id="rId52"/>
    <sheet name="MAYO 2024" sheetId="176" r:id="rId53"/>
    <sheet name="JUNIO 2024" sheetId="177" r:id="rId54"/>
    <sheet name="JULIO 2024" sheetId="178" r:id="rId55"/>
    <sheet name="JULIO 2024 (2)" sheetId="179" r:id="rId56"/>
    <sheet name="AGOSTO 2024" sheetId="180" r:id="rId57"/>
    <sheet name="SEPTIEMBRE 2024" sheetId="181" r:id="rId58"/>
    <sheet name="OCTUBRE 2024" sheetId="182" r:id="rId59"/>
    <sheet name="NOVIEMBRE 2024" sheetId="183" r:id="rId60"/>
    <sheet name="AGUINALDO 2024" sheetId="184" r:id="rId61"/>
    <sheet name="DICIEMBRE 2024" sheetId="185" r:id="rId62"/>
    <sheet name="ENERO 2025" sheetId="186" r:id="rId63"/>
    <sheet name="FEBRERO 2025" sheetId="187" r:id="rId64"/>
    <sheet name="FEBRERO 2025 (2)" sheetId="188" r:id="rId65"/>
    <sheet name="ABRIL 2025" sheetId="189" r:id="rId66"/>
    <sheet name="MAYO 2025" sheetId="190" r:id="rId67"/>
    <sheet name="JUNIO 2025" sheetId="191" r:id="rId68"/>
    <sheet name="RETROACTIVO 2025" sheetId="192" r:id="rId69"/>
    <sheet name="AGOSTO 2025" sheetId="193" r:id="rId70"/>
  </sheets>
  <calcPr calcId="124519"/>
</workbook>
</file>

<file path=xl/calcChain.xml><?xml version="1.0" encoding="utf-8"?>
<calcChain xmlns="http://schemas.openxmlformats.org/spreadsheetml/2006/main">
  <c r="S32" i="193"/>
  <c r="M32"/>
  <c r="K32"/>
  <c r="N31"/>
  <c r="Q31" s="1"/>
  <c r="Q30"/>
  <c r="O30"/>
  <c r="N30"/>
  <c r="N29"/>
  <c r="O29" s="1"/>
  <c r="Q28"/>
  <c r="P28"/>
  <c r="O28"/>
  <c r="N28"/>
  <c r="R28" s="1"/>
  <c r="N27"/>
  <c r="Q27" s="1"/>
  <c r="Q26"/>
  <c r="O26"/>
  <c r="N26"/>
  <c r="N25"/>
  <c r="O25" s="1"/>
  <c r="Q24"/>
  <c r="P24"/>
  <c r="O24"/>
  <c r="T24" s="1"/>
  <c r="U24" s="1"/>
  <c r="N24"/>
  <c r="R24" s="1"/>
  <c r="N23"/>
  <c r="Q23" s="1"/>
  <c r="Q22"/>
  <c r="O22"/>
  <c r="N22"/>
  <c r="N21"/>
  <c r="O21" s="1"/>
  <c r="Q20"/>
  <c r="P20"/>
  <c r="O20"/>
  <c r="N20"/>
  <c r="R20" s="1"/>
  <c r="N19"/>
  <c r="Q19" s="1"/>
  <c r="Q18"/>
  <c r="O18"/>
  <c r="N18"/>
  <c r="N17"/>
  <c r="O17" s="1"/>
  <c r="Q16"/>
  <c r="P16"/>
  <c r="O16"/>
  <c r="T16" s="1"/>
  <c r="U16" s="1"/>
  <c r="N16"/>
  <c r="R16" s="1"/>
  <c r="N15"/>
  <c r="Q15" s="1"/>
  <c r="Q14"/>
  <c r="O14"/>
  <c r="N14"/>
  <c r="N13"/>
  <c r="O13" s="1"/>
  <c r="Q12"/>
  <c r="P12"/>
  <c r="O12"/>
  <c r="N12"/>
  <c r="R12" s="1"/>
  <c r="N11"/>
  <c r="Q11" s="1"/>
  <c r="M32" i="192"/>
  <c r="R31"/>
  <c r="R30"/>
  <c r="P32"/>
  <c r="O32"/>
  <c r="N32"/>
  <c r="P31"/>
  <c r="O31"/>
  <c r="N31"/>
  <c r="P30"/>
  <c r="O30"/>
  <c r="N30"/>
  <c r="R25"/>
  <c r="R26"/>
  <c r="R27"/>
  <c r="R28"/>
  <c r="R29"/>
  <c r="P29"/>
  <c r="O29"/>
  <c r="N29"/>
  <c r="P27"/>
  <c r="P28"/>
  <c r="O27"/>
  <c r="O28"/>
  <c r="N27"/>
  <c r="N28"/>
  <c r="P26"/>
  <c r="O26"/>
  <c r="N26"/>
  <c r="P25"/>
  <c r="O25"/>
  <c r="N25"/>
  <c r="R23"/>
  <c r="R24"/>
  <c r="P24"/>
  <c r="O24"/>
  <c r="N24"/>
  <c r="R22"/>
  <c r="P22"/>
  <c r="O22"/>
  <c r="N22"/>
  <c r="R21"/>
  <c r="P21"/>
  <c r="O21"/>
  <c r="N21"/>
  <c r="R20"/>
  <c r="P20"/>
  <c r="O20"/>
  <c r="N20"/>
  <c r="R17"/>
  <c r="R18"/>
  <c r="R19"/>
  <c r="P19"/>
  <c r="O19"/>
  <c r="N19"/>
  <c r="P18"/>
  <c r="O18"/>
  <c r="N18"/>
  <c r="P17"/>
  <c r="O17"/>
  <c r="N17"/>
  <c r="R15"/>
  <c r="R16"/>
  <c r="P16"/>
  <c r="O16"/>
  <c r="N16"/>
  <c r="P15"/>
  <c r="O15"/>
  <c r="N15"/>
  <c r="R14"/>
  <c r="P14"/>
  <c r="O14"/>
  <c r="N14"/>
  <c r="R13"/>
  <c r="R12"/>
  <c r="P13"/>
  <c r="O13"/>
  <c r="N13"/>
  <c r="P12"/>
  <c r="O12"/>
  <c r="N12"/>
  <c r="R11"/>
  <c r="P11"/>
  <c r="O11"/>
  <c r="N11"/>
  <c r="T20" i="193" l="1"/>
  <c r="U20" s="1"/>
  <c r="T12"/>
  <c r="T28"/>
  <c r="U28" s="1"/>
  <c r="R13"/>
  <c r="P19"/>
  <c r="R21"/>
  <c r="P23"/>
  <c r="R25"/>
  <c r="P27"/>
  <c r="R29"/>
  <c r="P31"/>
  <c r="P11"/>
  <c r="P15"/>
  <c r="R17"/>
  <c r="O11"/>
  <c r="U12"/>
  <c r="Q13"/>
  <c r="Q32" s="1"/>
  <c r="R14"/>
  <c r="T14" s="1"/>
  <c r="U14" s="1"/>
  <c r="O15"/>
  <c r="Q17"/>
  <c r="T17" s="1"/>
  <c r="U17" s="1"/>
  <c r="R18"/>
  <c r="O19"/>
  <c r="Q21"/>
  <c r="R22"/>
  <c r="T22" s="1"/>
  <c r="U22" s="1"/>
  <c r="O23"/>
  <c r="Q25"/>
  <c r="R26"/>
  <c r="O27"/>
  <c r="T27" s="1"/>
  <c r="U27" s="1"/>
  <c r="Q29"/>
  <c r="R30"/>
  <c r="O31"/>
  <c r="N32"/>
  <c r="P13"/>
  <c r="T13" s="1"/>
  <c r="U13" s="1"/>
  <c r="R15"/>
  <c r="P17"/>
  <c r="R19"/>
  <c r="R23"/>
  <c r="P25"/>
  <c r="T25" s="1"/>
  <c r="U25" s="1"/>
  <c r="R27"/>
  <c r="P29"/>
  <c r="T29" s="1"/>
  <c r="U29" s="1"/>
  <c r="R31"/>
  <c r="R11"/>
  <c r="P21"/>
  <c r="T21" s="1"/>
  <c r="U21" s="1"/>
  <c r="P14"/>
  <c r="P18"/>
  <c r="T18" s="1"/>
  <c r="U18" s="1"/>
  <c r="P22"/>
  <c r="P26"/>
  <c r="T26" s="1"/>
  <c r="U26" s="1"/>
  <c r="P30"/>
  <c r="T30" s="1"/>
  <c r="U30" s="1"/>
  <c r="W32" i="192"/>
  <c r="Q32"/>
  <c r="K32"/>
  <c r="U31"/>
  <c r="S30"/>
  <c r="S29"/>
  <c r="S28"/>
  <c r="V28"/>
  <c r="U27"/>
  <c r="S26"/>
  <c r="T25"/>
  <c r="S25"/>
  <c r="V24"/>
  <c r="U23"/>
  <c r="T22"/>
  <c r="V22"/>
  <c r="S21"/>
  <c r="V20"/>
  <c r="U19"/>
  <c r="V18"/>
  <c r="S17"/>
  <c r="S16"/>
  <c r="V16"/>
  <c r="U15"/>
  <c r="S14"/>
  <c r="V14"/>
  <c r="S13"/>
  <c r="S12"/>
  <c r="V12"/>
  <c r="U11"/>
  <c r="S32" i="191"/>
  <c r="M32"/>
  <c r="K32"/>
  <c r="N31"/>
  <c r="Q31" s="1"/>
  <c r="Q30"/>
  <c r="O30"/>
  <c r="N30"/>
  <c r="P29"/>
  <c r="N29"/>
  <c r="O29" s="1"/>
  <c r="Q28"/>
  <c r="P28"/>
  <c r="O28"/>
  <c r="N28"/>
  <c r="R28" s="1"/>
  <c r="T28" s="1"/>
  <c r="U28" s="1"/>
  <c r="R27"/>
  <c r="N27"/>
  <c r="Q27" s="1"/>
  <c r="Q26"/>
  <c r="O26"/>
  <c r="N26"/>
  <c r="P25"/>
  <c r="N25"/>
  <c r="O25" s="1"/>
  <c r="Q24"/>
  <c r="P24"/>
  <c r="O24"/>
  <c r="T24" s="1"/>
  <c r="U24" s="1"/>
  <c r="N24"/>
  <c r="R24" s="1"/>
  <c r="N23"/>
  <c r="Q23" s="1"/>
  <c r="Q22"/>
  <c r="O22"/>
  <c r="N22"/>
  <c r="P21"/>
  <c r="N21"/>
  <c r="O21" s="1"/>
  <c r="Q20"/>
  <c r="P20"/>
  <c r="O20"/>
  <c r="N20"/>
  <c r="R20" s="1"/>
  <c r="N19"/>
  <c r="Q19" s="1"/>
  <c r="Q18"/>
  <c r="O18"/>
  <c r="N18"/>
  <c r="P17"/>
  <c r="N17"/>
  <c r="O17" s="1"/>
  <c r="Q16"/>
  <c r="P16"/>
  <c r="O16"/>
  <c r="T16" s="1"/>
  <c r="U16" s="1"/>
  <c r="N16"/>
  <c r="R16" s="1"/>
  <c r="N15"/>
  <c r="Q15" s="1"/>
  <c r="Q14"/>
  <c r="O14"/>
  <c r="N14"/>
  <c r="P13"/>
  <c r="N13"/>
  <c r="O13" s="1"/>
  <c r="Q12"/>
  <c r="P12"/>
  <c r="O12"/>
  <c r="N12"/>
  <c r="R12" s="1"/>
  <c r="N11"/>
  <c r="Q11" s="1"/>
  <c r="C56" i="190"/>
  <c r="C53"/>
  <c r="C52"/>
  <c r="C51"/>
  <c r="C50"/>
  <c r="C49"/>
  <c r="C43"/>
  <c r="C41"/>
  <c r="T11" i="193" l="1"/>
  <c r="O32"/>
  <c r="T19"/>
  <c r="U19" s="1"/>
  <c r="P32"/>
  <c r="T31"/>
  <c r="U31" s="1"/>
  <c r="T15"/>
  <c r="U15" s="1"/>
  <c r="C46"/>
  <c r="C41"/>
  <c r="C43" s="1"/>
  <c r="R32"/>
  <c r="T23"/>
  <c r="U23" s="1"/>
  <c r="U12" i="192"/>
  <c r="T14"/>
  <c r="U28"/>
  <c r="U30"/>
  <c r="T30"/>
  <c r="U20"/>
  <c r="T17"/>
  <c r="S20"/>
  <c r="S22"/>
  <c r="S24"/>
  <c r="U26"/>
  <c r="T18"/>
  <c r="T26"/>
  <c r="U18"/>
  <c r="T13"/>
  <c r="U14"/>
  <c r="U16"/>
  <c r="S18"/>
  <c r="X18" s="1"/>
  <c r="Y18" s="1"/>
  <c r="T21"/>
  <c r="U22"/>
  <c r="X22" s="1"/>
  <c r="Y22" s="1"/>
  <c r="U24"/>
  <c r="V17"/>
  <c r="T19"/>
  <c r="V25"/>
  <c r="T27"/>
  <c r="V29"/>
  <c r="T31"/>
  <c r="V11"/>
  <c r="T11"/>
  <c r="V13"/>
  <c r="T15"/>
  <c r="V21"/>
  <c r="T23"/>
  <c r="S11"/>
  <c r="T12"/>
  <c r="X12" s="1"/>
  <c r="Y12" s="1"/>
  <c r="U13"/>
  <c r="S15"/>
  <c r="T16"/>
  <c r="X16" s="1"/>
  <c r="Y16" s="1"/>
  <c r="U17"/>
  <c r="S19"/>
  <c r="T20"/>
  <c r="X20" s="1"/>
  <c r="Y20" s="1"/>
  <c r="U21"/>
  <c r="S23"/>
  <c r="T24"/>
  <c r="U25"/>
  <c r="X25" s="1"/>
  <c r="Y25" s="1"/>
  <c r="V26"/>
  <c r="X26" s="1"/>
  <c r="Y26" s="1"/>
  <c r="S27"/>
  <c r="T28"/>
  <c r="U29"/>
  <c r="V30"/>
  <c r="X30" s="1"/>
  <c r="Y30" s="1"/>
  <c r="S31"/>
  <c r="R32"/>
  <c r="V15"/>
  <c r="V19"/>
  <c r="V23"/>
  <c r="V27"/>
  <c r="T29"/>
  <c r="X29" s="1"/>
  <c r="Y29" s="1"/>
  <c r="V31"/>
  <c r="T12" i="191"/>
  <c r="U12" s="1"/>
  <c r="T20"/>
  <c r="U20" s="1"/>
  <c r="T26"/>
  <c r="U26" s="1"/>
  <c r="T14"/>
  <c r="U14"/>
  <c r="R13"/>
  <c r="P19"/>
  <c r="R21"/>
  <c r="T21" s="1"/>
  <c r="U21" s="1"/>
  <c r="P23"/>
  <c r="R25"/>
  <c r="P27"/>
  <c r="R29"/>
  <c r="P31"/>
  <c r="R11"/>
  <c r="R15"/>
  <c r="R23"/>
  <c r="P11"/>
  <c r="P15"/>
  <c r="R17"/>
  <c r="O11"/>
  <c r="Q13"/>
  <c r="T13" s="1"/>
  <c r="U13" s="1"/>
  <c r="R14"/>
  <c r="O15"/>
  <c r="Q17"/>
  <c r="T17" s="1"/>
  <c r="U17" s="1"/>
  <c r="R18"/>
  <c r="O19"/>
  <c r="Q21"/>
  <c r="R22"/>
  <c r="O23"/>
  <c r="T23" s="1"/>
  <c r="U23" s="1"/>
  <c r="Q25"/>
  <c r="T25" s="1"/>
  <c r="U25" s="1"/>
  <c r="R26"/>
  <c r="O27"/>
  <c r="T27" s="1"/>
  <c r="U27" s="1"/>
  <c r="Q29"/>
  <c r="T29" s="1"/>
  <c r="U29" s="1"/>
  <c r="R30"/>
  <c r="O31"/>
  <c r="N32"/>
  <c r="R19"/>
  <c r="R31"/>
  <c r="P14"/>
  <c r="P18"/>
  <c r="T18" s="1"/>
  <c r="U18" s="1"/>
  <c r="P22"/>
  <c r="T22" s="1"/>
  <c r="U22" s="1"/>
  <c r="P26"/>
  <c r="P30"/>
  <c r="T30" s="1"/>
  <c r="U30" s="1"/>
  <c r="S32" i="190"/>
  <c r="M32"/>
  <c r="K32"/>
  <c r="N31"/>
  <c r="N30"/>
  <c r="R30" s="1"/>
  <c r="N29"/>
  <c r="R29" s="1"/>
  <c r="N28"/>
  <c r="R28" s="1"/>
  <c r="N27"/>
  <c r="N26"/>
  <c r="R26" s="1"/>
  <c r="N25"/>
  <c r="R25" s="1"/>
  <c r="N24"/>
  <c r="R24" s="1"/>
  <c r="N23"/>
  <c r="N22"/>
  <c r="R22" s="1"/>
  <c r="N21"/>
  <c r="R21" s="1"/>
  <c r="N20"/>
  <c r="R20" s="1"/>
  <c r="N19"/>
  <c r="N18"/>
  <c r="R18" s="1"/>
  <c r="N17"/>
  <c r="R17" s="1"/>
  <c r="O16"/>
  <c r="N16"/>
  <c r="R16" s="1"/>
  <c r="N15"/>
  <c r="N14"/>
  <c r="R14" s="1"/>
  <c r="N13"/>
  <c r="R13" s="1"/>
  <c r="N12"/>
  <c r="R12" s="1"/>
  <c r="N11"/>
  <c r="S32" i="189"/>
  <c r="M32"/>
  <c r="K32"/>
  <c r="N31"/>
  <c r="Q30"/>
  <c r="P30"/>
  <c r="O30"/>
  <c r="T30" s="1"/>
  <c r="U30" s="1"/>
  <c r="N30"/>
  <c r="R30" s="1"/>
  <c r="N29"/>
  <c r="R29" s="1"/>
  <c r="Q28"/>
  <c r="O28"/>
  <c r="N28"/>
  <c r="R28" s="1"/>
  <c r="N27"/>
  <c r="Q26"/>
  <c r="P26"/>
  <c r="O26"/>
  <c r="T26" s="1"/>
  <c r="U26" s="1"/>
  <c r="N26"/>
  <c r="R26" s="1"/>
  <c r="N25"/>
  <c r="R25" s="1"/>
  <c r="Q24"/>
  <c r="O24"/>
  <c r="N24"/>
  <c r="R24" s="1"/>
  <c r="R23"/>
  <c r="P23"/>
  <c r="N23"/>
  <c r="Q22"/>
  <c r="P22"/>
  <c r="O22"/>
  <c r="T22" s="1"/>
  <c r="U22" s="1"/>
  <c r="N22"/>
  <c r="R22" s="1"/>
  <c r="N21"/>
  <c r="R21" s="1"/>
  <c r="Q20"/>
  <c r="O20"/>
  <c r="N20"/>
  <c r="R20" s="1"/>
  <c r="N19"/>
  <c r="Q18"/>
  <c r="P18"/>
  <c r="O18"/>
  <c r="N18"/>
  <c r="P17"/>
  <c r="N17"/>
  <c r="R17" s="1"/>
  <c r="Q16"/>
  <c r="O16"/>
  <c r="N16"/>
  <c r="R16" s="1"/>
  <c r="N15"/>
  <c r="Q14"/>
  <c r="O14"/>
  <c r="N14"/>
  <c r="N13"/>
  <c r="O13" s="1"/>
  <c r="Q12"/>
  <c r="O12"/>
  <c r="N12"/>
  <c r="R12" s="1"/>
  <c r="N11"/>
  <c r="S32" i="188"/>
  <c r="M32"/>
  <c r="K32"/>
  <c r="Q31"/>
  <c r="O31"/>
  <c r="N31"/>
  <c r="P30"/>
  <c r="N30"/>
  <c r="O30" s="1"/>
  <c r="Q29"/>
  <c r="P29"/>
  <c r="O29"/>
  <c r="T29" s="1"/>
  <c r="U29" s="1"/>
  <c r="N29"/>
  <c r="R29" s="1"/>
  <c r="N28"/>
  <c r="Q28" s="1"/>
  <c r="Q27"/>
  <c r="O27"/>
  <c r="N27"/>
  <c r="P26"/>
  <c r="N26"/>
  <c r="O26" s="1"/>
  <c r="Q25"/>
  <c r="P25"/>
  <c r="O25"/>
  <c r="N25"/>
  <c r="R25" s="1"/>
  <c r="N24"/>
  <c r="Q24" s="1"/>
  <c r="Q23"/>
  <c r="O23"/>
  <c r="N23"/>
  <c r="P22"/>
  <c r="N22"/>
  <c r="O22" s="1"/>
  <c r="Q21"/>
  <c r="P21"/>
  <c r="O21"/>
  <c r="T21" s="1"/>
  <c r="U21" s="1"/>
  <c r="N21"/>
  <c r="R21" s="1"/>
  <c r="N20"/>
  <c r="Q20" s="1"/>
  <c r="Q19"/>
  <c r="O19"/>
  <c r="N19"/>
  <c r="P18"/>
  <c r="N18"/>
  <c r="O18" s="1"/>
  <c r="Q17"/>
  <c r="P17"/>
  <c r="O17"/>
  <c r="N17"/>
  <c r="R17" s="1"/>
  <c r="N16"/>
  <c r="Q16" s="1"/>
  <c r="Q15"/>
  <c r="O15"/>
  <c r="N15"/>
  <c r="P14"/>
  <c r="N14"/>
  <c r="O14" s="1"/>
  <c r="Q13"/>
  <c r="P13"/>
  <c r="O13"/>
  <c r="T13" s="1"/>
  <c r="U13" s="1"/>
  <c r="N13"/>
  <c r="R13" s="1"/>
  <c r="N12"/>
  <c r="Q12" s="1"/>
  <c r="Q11"/>
  <c r="O11"/>
  <c r="N11"/>
  <c r="N23" i="187"/>
  <c r="R23" s="1"/>
  <c r="N15"/>
  <c r="Q15" s="1"/>
  <c r="S32"/>
  <c r="M32"/>
  <c r="K32"/>
  <c r="N31"/>
  <c r="N30"/>
  <c r="R30" s="1"/>
  <c r="N29"/>
  <c r="R29" s="1"/>
  <c r="N28"/>
  <c r="O28" s="1"/>
  <c r="N27"/>
  <c r="R27" s="1"/>
  <c r="N26"/>
  <c r="Q26" s="1"/>
  <c r="N25"/>
  <c r="R25" s="1"/>
  <c r="N24"/>
  <c r="Q24" s="1"/>
  <c r="N22"/>
  <c r="O22" s="1"/>
  <c r="N21"/>
  <c r="O21" s="1"/>
  <c r="N20"/>
  <c r="R20" s="1"/>
  <c r="N19"/>
  <c r="Q19" s="1"/>
  <c r="N18"/>
  <c r="O18" s="1"/>
  <c r="N17"/>
  <c r="R17" s="1"/>
  <c r="N16"/>
  <c r="R16" s="1"/>
  <c r="N14"/>
  <c r="Q14" s="1"/>
  <c r="N13"/>
  <c r="Q13" s="1"/>
  <c r="N12"/>
  <c r="O12" s="1"/>
  <c r="N11"/>
  <c r="R11" s="1"/>
  <c r="B33" i="186"/>
  <c r="B31"/>
  <c r="B29"/>
  <c r="B28"/>
  <c r="B27"/>
  <c r="B26"/>
  <c r="B25"/>
  <c r="B23"/>
  <c r="S12"/>
  <c r="M12"/>
  <c r="K12"/>
  <c r="N11"/>
  <c r="Q11" s="1"/>
  <c r="M22" i="185"/>
  <c r="K22"/>
  <c r="K34"/>
  <c r="K33"/>
  <c r="K26"/>
  <c r="K25"/>
  <c r="K21"/>
  <c r="K17"/>
  <c r="K11"/>
  <c r="Q25" i="184"/>
  <c r="Q34"/>
  <c r="Q33"/>
  <c r="Q26"/>
  <c r="Q22"/>
  <c r="Q21"/>
  <c r="Q17"/>
  <c r="Q11"/>
  <c r="C51" i="193" l="1"/>
  <c r="C52"/>
  <c r="C49"/>
  <c r="C50"/>
  <c r="T32"/>
  <c r="T33" s="1"/>
  <c r="U11"/>
  <c r="U32" s="1"/>
  <c r="X28" i="192"/>
  <c r="Y28" s="1"/>
  <c r="X21"/>
  <c r="Y21" s="1"/>
  <c r="X14"/>
  <c r="Y14" s="1"/>
  <c r="X17"/>
  <c r="Y17" s="1"/>
  <c r="X27"/>
  <c r="Y27" s="1"/>
  <c r="X24"/>
  <c r="Y24" s="1"/>
  <c r="X13"/>
  <c r="Y13" s="1"/>
  <c r="X11"/>
  <c r="S32"/>
  <c r="X23"/>
  <c r="Y23" s="1"/>
  <c r="X19"/>
  <c r="Y19" s="1"/>
  <c r="X15"/>
  <c r="Y15" s="1"/>
  <c r="V32"/>
  <c r="U32"/>
  <c r="T32"/>
  <c r="X31"/>
  <c r="Y31" s="1"/>
  <c r="C46"/>
  <c r="C41"/>
  <c r="C43" s="1"/>
  <c r="T19" i="191"/>
  <c r="U19" s="1"/>
  <c r="Q32"/>
  <c r="T31"/>
  <c r="U31" s="1"/>
  <c r="T15"/>
  <c r="U15" s="1"/>
  <c r="C46"/>
  <c r="C41"/>
  <c r="C43" s="1"/>
  <c r="T11"/>
  <c r="O32"/>
  <c r="P32"/>
  <c r="R32"/>
  <c r="Q18" i="190"/>
  <c r="Q20"/>
  <c r="Q28"/>
  <c r="O18"/>
  <c r="O20"/>
  <c r="P25"/>
  <c r="O28"/>
  <c r="O24"/>
  <c r="Q30"/>
  <c r="P30"/>
  <c r="O30"/>
  <c r="P29"/>
  <c r="P26"/>
  <c r="O26"/>
  <c r="Q26"/>
  <c r="Q24"/>
  <c r="Q22"/>
  <c r="P22"/>
  <c r="O22"/>
  <c r="P21"/>
  <c r="P18"/>
  <c r="P17"/>
  <c r="Q16"/>
  <c r="Q12"/>
  <c r="Q14"/>
  <c r="P14"/>
  <c r="O14"/>
  <c r="P13"/>
  <c r="O12"/>
  <c r="P11"/>
  <c r="O11"/>
  <c r="P12"/>
  <c r="Q13"/>
  <c r="O15"/>
  <c r="P16"/>
  <c r="T16" s="1"/>
  <c r="U16" s="1"/>
  <c r="Q17"/>
  <c r="O19"/>
  <c r="P20"/>
  <c r="Q21"/>
  <c r="O23"/>
  <c r="P24"/>
  <c r="Q25"/>
  <c r="O27"/>
  <c r="P28"/>
  <c r="Q29"/>
  <c r="O31"/>
  <c r="N32"/>
  <c r="C46" s="1"/>
  <c r="R15"/>
  <c r="R19"/>
  <c r="R23"/>
  <c r="R27"/>
  <c r="R31"/>
  <c r="R11"/>
  <c r="Q11"/>
  <c r="O13"/>
  <c r="Q15"/>
  <c r="O17"/>
  <c r="Q19"/>
  <c r="O21"/>
  <c r="T21" s="1"/>
  <c r="U21" s="1"/>
  <c r="Q23"/>
  <c r="O25"/>
  <c r="T25" s="1"/>
  <c r="U25" s="1"/>
  <c r="Q27"/>
  <c r="O29"/>
  <c r="Q31"/>
  <c r="P15"/>
  <c r="P19"/>
  <c r="P23"/>
  <c r="P27"/>
  <c r="P31"/>
  <c r="P11" i="189"/>
  <c r="R13"/>
  <c r="P15"/>
  <c r="P19"/>
  <c r="O11"/>
  <c r="P12"/>
  <c r="T12" s="1"/>
  <c r="U12" s="1"/>
  <c r="Q13"/>
  <c r="R14"/>
  <c r="O15"/>
  <c r="P16"/>
  <c r="T16" s="1"/>
  <c r="U16" s="1"/>
  <c r="Q17"/>
  <c r="R18"/>
  <c r="T18" s="1"/>
  <c r="U18" s="1"/>
  <c r="O19"/>
  <c r="P20"/>
  <c r="T20" s="1"/>
  <c r="U20" s="1"/>
  <c r="Q21"/>
  <c r="O23"/>
  <c r="P24"/>
  <c r="T24" s="1"/>
  <c r="U24" s="1"/>
  <c r="Q25"/>
  <c r="O27"/>
  <c r="P28"/>
  <c r="T28" s="1"/>
  <c r="U28" s="1"/>
  <c r="Q29"/>
  <c r="O31"/>
  <c r="N32"/>
  <c r="P13"/>
  <c r="T13" s="1"/>
  <c r="U13" s="1"/>
  <c r="R19"/>
  <c r="P21"/>
  <c r="P25"/>
  <c r="R27"/>
  <c r="P29"/>
  <c r="R31"/>
  <c r="R11"/>
  <c r="R32" s="1"/>
  <c r="R15"/>
  <c r="Q11"/>
  <c r="P14"/>
  <c r="T14" s="1"/>
  <c r="U14" s="1"/>
  <c r="Q15"/>
  <c r="O17"/>
  <c r="T17" s="1"/>
  <c r="U17" s="1"/>
  <c r="Q19"/>
  <c r="O21"/>
  <c r="T21" s="1"/>
  <c r="U21" s="1"/>
  <c r="Q23"/>
  <c r="O25"/>
  <c r="Q27"/>
  <c r="O29"/>
  <c r="T29" s="1"/>
  <c r="U29" s="1"/>
  <c r="Q31"/>
  <c r="P27"/>
  <c r="P31"/>
  <c r="T17" i="188"/>
  <c r="U17" s="1"/>
  <c r="T25"/>
  <c r="U25" s="1"/>
  <c r="T26"/>
  <c r="U26" s="1"/>
  <c r="P12"/>
  <c r="R14"/>
  <c r="P16"/>
  <c r="R18"/>
  <c r="P20"/>
  <c r="N32"/>
  <c r="R22"/>
  <c r="P24"/>
  <c r="R26"/>
  <c r="P28"/>
  <c r="R30"/>
  <c r="R11"/>
  <c r="O12"/>
  <c r="T12" s="1"/>
  <c r="U12" s="1"/>
  <c r="Q14"/>
  <c r="T14" s="1"/>
  <c r="U14" s="1"/>
  <c r="R15"/>
  <c r="O16"/>
  <c r="Q18"/>
  <c r="T18" s="1"/>
  <c r="U18" s="1"/>
  <c r="R19"/>
  <c r="O20"/>
  <c r="Q22"/>
  <c r="T22" s="1"/>
  <c r="U22" s="1"/>
  <c r="R23"/>
  <c r="O24"/>
  <c r="T24" s="1"/>
  <c r="U24" s="1"/>
  <c r="Q26"/>
  <c r="R27"/>
  <c r="O28"/>
  <c r="T28" s="1"/>
  <c r="U28" s="1"/>
  <c r="Q30"/>
  <c r="T30" s="1"/>
  <c r="U30" s="1"/>
  <c r="R31"/>
  <c r="R12"/>
  <c r="R16"/>
  <c r="R20"/>
  <c r="R24"/>
  <c r="R28"/>
  <c r="P11"/>
  <c r="P32" s="1"/>
  <c r="P15"/>
  <c r="T15" s="1"/>
  <c r="U15" s="1"/>
  <c r="P19"/>
  <c r="T19" s="1"/>
  <c r="U19" s="1"/>
  <c r="P23"/>
  <c r="T23" s="1"/>
  <c r="U23" s="1"/>
  <c r="P27"/>
  <c r="T27" s="1"/>
  <c r="U27" s="1"/>
  <c r="P31"/>
  <c r="T31" s="1"/>
  <c r="U31" s="1"/>
  <c r="O23" i="187"/>
  <c r="O13"/>
  <c r="Q22"/>
  <c r="Q23"/>
  <c r="P19"/>
  <c r="P30"/>
  <c r="Q20"/>
  <c r="Q25"/>
  <c r="O20"/>
  <c r="O25"/>
  <c r="P11"/>
  <c r="T11" s="1"/>
  <c r="Q18"/>
  <c r="P15"/>
  <c r="O11"/>
  <c r="P14"/>
  <c r="P26"/>
  <c r="Q29"/>
  <c r="O30"/>
  <c r="O15"/>
  <c r="P23"/>
  <c r="T23" s="1"/>
  <c r="U23" s="1"/>
  <c r="Q27"/>
  <c r="P29"/>
  <c r="R15"/>
  <c r="Q11"/>
  <c r="O27"/>
  <c r="O29"/>
  <c r="Q30"/>
  <c r="P24"/>
  <c r="P16"/>
  <c r="O16"/>
  <c r="Q16"/>
  <c r="T29"/>
  <c r="U29" s="1"/>
  <c r="R21"/>
  <c r="R28"/>
  <c r="Q12"/>
  <c r="R13"/>
  <c r="O14"/>
  <c r="Q17"/>
  <c r="R18"/>
  <c r="O19"/>
  <c r="P20"/>
  <c r="Q21"/>
  <c r="R22"/>
  <c r="O24"/>
  <c r="P25"/>
  <c r="O26"/>
  <c r="P27"/>
  <c r="Q28"/>
  <c r="O31"/>
  <c r="N32"/>
  <c r="P12"/>
  <c r="R14"/>
  <c r="P21"/>
  <c r="R26"/>
  <c r="R31"/>
  <c r="R12"/>
  <c r="P17"/>
  <c r="R19"/>
  <c r="R24"/>
  <c r="P28"/>
  <c r="P13"/>
  <c r="O17"/>
  <c r="P18"/>
  <c r="P22"/>
  <c r="Q31"/>
  <c r="P31"/>
  <c r="O11" i="186"/>
  <c r="N12"/>
  <c r="R11"/>
  <c r="Q12"/>
  <c r="P11"/>
  <c r="K32" i="185"/>
  <c r="K31"/>
  <c r="K29"/>
  <c r="K24"/>
  <c r="K23"/>
  <c r="K20"/>
  <c r="K19"/>
  <c r="K18"/>
  <c r="K16"/>
  <c r="K15"/>
  <c r="K14"/>
  <c r="K13"/>
  <c r="K12"/>
  <c r="Q27" i="184"/>
  <c r="Q24"/>
  <c r="C53" i="193" l="1"/>
  <c r="C56" s="1"/>
  <c r="X32" i="192"/>
  <c r="X33" s="1"/>
  <c r="Y11"/>
  <c r="Y32" s="1"/>
  <c r="C51"/>
  <c r="C52"/>
  <c r="C49"/>
  <c r="C50"/>
  <c r="C51" i="191"/>
  <c r="C52"/>
  <c r="C49"/>
  <c r="C50"/>
  <c r="T32"/>
  <c r="T33" s="1"/>
  <c r="U11"/>
  <c r="U32" s="1"/>
  <c r="T28" i="190"/>
  <c r="U28" s="1"/>
  <c r="T17"/>
  <c r="U17" s="1"/>
  <c r="T24"/>
  <c r="U24" s="1"/>
  <c r="T18"/>
  <c r="U18" s="1"/>
  <c r="T20"/>
  <c r="U20" s="1"/>
  <c r="T26"/>
  <c r="U26" s="1"/>
  <c r="T22"/>
  <c r="U22" s="1"/>
  <c r="T30"/>
  <c r="U30" s="1"/>
  <c r="T29"/>
  <c r="U29" s="1"/>
  <c r="T31"/>
  <c r="U31" s="1"/>
  <c r="T15"/>
  <c r="U15" s="1"/>
  <c r="T13"/>
  <c r="U13" s="1"/>
  <c r="T12"/>
  <c r="U12" s="1"/>
  <c r="T14"/>
  <c r="U14" s="1"/>
  <c r="O32"/>
  <c r="T11"/>
  <c r="Q32"/>
  <c r="T27"/>
  <c r="U27" s="1"/>
  <c r="T19"/>
  <c r="U19" s="1"/>
  <c r="T23"/>
  <c r="U23" s="1"/>
  <c r="R32"/>
  <c r="P32"/>
  <c r="O32" i="189"/>
  <c r="T11"/>
  <c r="P32"/>
  <c r="T25"/>
  <c r="U25" s="1"/>
  <c r="T15"/>
  <c r="U15" s="1"/>
  <c r="Q32"/>
  <c r="T31"/>
  <c r="U31" s="1"/>
  <c r="T27"/>
  <c r="U27" s="1"/>
  <c r="T23"/>
  <c r="U23" s="1"/>
  <c r="T19"/>
  <c r="U19" s="1"/>
  <c r="T20" i="188"/>
  <c r="U20" s="1"/>
  <c r="O32"/>
  <c r="T16"/>
  <c r="U16" s="1"/>
  <c r="R32"/>
  <c r="Q32"/>
  <c r="T11"/>
  <c r="T22" i="187"/>
  <c r="U22" s="1"/>
  <c r="T20"/>
  <c r="U20" s="1"/>
  <c r="T13"/>
  <c r="U13" s="1"/>
  <c r="T27"/>
  <c r="U27" s="1"/>
  <c r="T15"/>
  <c r="U15" s="1"/>
  <c r="T25"/>
  <c r="U25" s="1"/>
  <c r="T30"/>
  <c r="U30" s="1"/>
  <c r="T28"/>
  <c r="U28" s="1"/>
  <c r="T18"/>
  <c r="U18" s="1"/>
  <c r="T26"/>
  <c r="U26" s="1"/>
  <c r="T21"/>
  <c r="U21" s="1"/>
  <c r="O32"/>
  <c r="T24"/>
  <c r="U24" s="1"/>
  <c r="T16"/>
  <c r="U16" s="1"/>
  <c r="T12"/>
  <c r="U12" s="1"/>
  <c r="R32"/>
  <c r="T31"/>
  <c r="U31" s="1"/>
  <c r="P32"/>
  <c r="Q32"/>
  <c r="U11"/>
  <c r="T17"/>
  <c r="U17" s="1"/>
  <c r="T19"/>
  <c r="U19" s="1"/>
  <c r="T14"/>
  <c r="U14" s="1"/>
  <c r="T11" i="186"/>
  <c r="U11" s="1"/>
  <c r="R12"/>
  <c r="O12"/>
  <c r="P12"/>
  <c r="Q13" i="184"/>
  <c r="Q12"/>
  <c r="Q28"/>
  <c r="Q29"/>
  <c r="Q30"/>
  <c r="Q31"/>
  <c r="Q32"/>
  <c r="Q23"/>
  <c r="Q18"/>
  <c r="Q19"/>
  <c r="Q20"/>
  <c r="Q16"/>
  <c r="Q15"/>
  <c r="Q14"/>
  <c r="Q24" i="153"/>
  <c r="S35" i="185"/>
  <c r="M35"/>
  <c r="K35"/>
  <c r="N34"/>
  <c r="Q33"/>
  <c r="O33"/>
  <c r="N33"/>
  <c r="P33" s="1"/>
  <c r="N32"/>
  <c r="R32" s="1"/>
  <c r="O31"/>
  <c r="N31"/>
  <c r="R31" s="1"/>
  <c r="N30"/>
  <c r="O29"/>
  <c r="N29"/>
  <c r="Q29" s="1"/>
  <c r="N28"/>
  <c r="R28" s="1"/>
  <c r="O27"/>
  <c r="N27"/>
  <c r="R27" s="1"/>
  <c r="N26"/>
  <c r="O25"/>
  <c r="N25"/>
  <c r="Q25" s="1"/>
  <c r="N24"/>
  <c r="R24" s="1"/>
  <c r="O23"/>
  <c r="N23"/>
  <c r="R23" s="1"/>
  <c r="R22"/>
  <c r="N22"/>
  <c r="P22" s="1"/>
  <c r="Q21"/>
  <c r="N21"/>
  <c r="O21" s="1"/>
  <c r="N20"/>
  <c r="R20" s="1"/>
  <c r="N19"/>
  <c r="R19" s="1"/>
  <c r="N18"/>
  <c r="P18" s="1"/>
  <c r="N17"/>
  <c r="O17" s="1"/>
  <c r="N16"/>
  <c r="R16" s="1"/>
  <c r="N15"/>
  <c r="R15" s="1"/>
  <c r="N14"/>
  <c r="Q14" s="1"/>
  <c r="N13"/>
  <c r="Q13" s="1"/>
  <c r="N12"/>
  <c r="R12" s="1"/>
  <c r="N11"/>
  <c r="R11" s="1"/>
  <c r="M35" i="184"/>
  <c r="K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S35" i="183"/>
  <c r="M35"/>
  <c r="K35"/>
  <c r="Q34"/>
  <c r="O34"/>
  <c r="N34"/>
  <c r="N33"/>
  <c r="O33" s="1"/>
  <c r="Q32"/>
  <c r="O32"/>
  <c r="N32"/>
  <c r="R32" s="1"/>
  <c r="N31"/>
  <c r="Q31" s="1"/>
  <c r="Q30"/>
  <c r="O30"/>
  <c r="N30"/>
  <c r="N29"/>
  <c r="O29" s="1"/>
  <c r="Q28"/>
  <c r="O28"/>
  <c r="N28"/>
  <c r="R28" s="1"/>
  <c r="N27"/>
  <c r="Q27" s="1"/>
  <c r="Q26"/>
  <c r="O26"/>
  <c r="N26"/>
  <c r="N25"/>
  <c r="O25" s="1"/>
  <c r="Q24"/>
  <c r="O24"/>
  <c r="N24"/>
  <c r="R24" s="1"/>
  <c r="N23"/>
  <c r="Q23" s="1"/>
  <c r="Q22"/>
  <c r="O22"/>
  <c r="N22"/>
  <c r="N21"/>
  <c r="O21" s="1"/>
  <c r="Q20"/>
  <c r="O20"/>
  <c r="N20"/>
  <c r="R20" s="1"/>
  <c r="N19"/>
  <c r="Q19" s="1"/>
  <c r="Q18"/>
  <c r="O18"/>
  <c r="N18"/>
  <c r="N17"/>
  <c r="O17" s="1"/>
  <c r="Q16"/>
  <c r="O16"/>
  <c r="N16"/>
  <c r="R16" s="1"/>
  <c r="N15"/>
  <c r="Q15" s="1"/>
  <c r="Q14"/>
  <c r="O14"/>
  <c r="N14"/>
  <c r="N13"/>
  <c r="O13" s="1"/>
  <c r="Q12"/>
  <c r="O12"/>
  <c r="N12"/>
  <c r="R12" s="1"/>
  <c r="N11"/>
  <c r="Q11" s="1"/>
  <c r="S35" i="182"/>
  <c r="M35"/>
  <c r="K35"/>
  <c r="Q34"/>
  <c r="O34"/>
  <c r="N34"/>
  <c r="N33"/>
  <c r="O33" s="1"/>
  <c r="Q32"/>
  <c r="O32"/>
  <c r="N32"/>
  <c r="R32" s="1"/>
  <c r="N31"/>
  <c r="Q31" s="1"/>
  <c r="Q30"/>
  <c r="O30"/>
  <c r="N30"/>
  <c r="N29"/>
  <c r="O29" s="1"/>
  <c r="Q28"/>
  <c r="O28"/>
  <c r="N28"/>
  <c r="R28" s="1"/>
  <c r="N27"/>
  <c r="Q27" s="1"/>
  <c r="Q26"/>
  <c r="O26"/>
  <c r="N26"/>
  <c r="N25"/>
  <c r="O25" s="1"/>
  <c r="Q24"/>
  <c r="O24"/>
  <c r="N24"/>
  <c r="R24" s="1"/>
  <c r="N23"/>
  <c r="Q23" s="1"/>
  <c r="Q22"/>
  <c r="O22"/>
  <c r="N22"/>
  <c r="N21"/>
  <c r="O21" s="1"/>
  <c r="Q20"/>
  <c r="O20"/>
  <c r="N20"/>
  <c r="R20" s="1"/>
  <c r="N19"/>
  <c r="Q19" s="1"/>
  <c r="Q18"/>
  <c r="O18"/>
  <c r="N18"/>
  <c r="N17"/>
  <c r="O17" s="1"/>
  <c r="Q16"/>
  <c r="O16"/>
  <c r="N16"/>
  <c r="R16" s="1"/>
  <c r="N15"/>
  <c r="Q15" s="1"/>
  <c r="Q14"/>
  <c r="O14"/>
  <c r="N14"/>
  <c r="N13"/>
  <c r="O13" s="1"/>
  <c r="Q12"/>
  <c r="O12"/>
  <c r="N12"/>
  <c r="R12" s="1"/>
  <c r="N11"/>
  <c r="Q11" s="1"/>
  <c r="N13" i="181"/>
  <c r="Q13" s="1"/>
  <c r="S35"/>
  <c r="M35"/>
  <c r="K35"/>
  <c r="N34"/>
  <c r="Q33"/>
  <c r="N33"/>
  <c r="O33" s="1"/>
  <c r="Q32"/>
  <c r="O32"/>
  <c r="N32"/>
  <c r="R32" s="1"/>
  <c r="N31"/>
  <c r="Q31" s="1"/>
  <c r="N30"/>
  <c r="Q29"/>
  <c r="N29"/>
  <c r="O29" s="1"/>
  <c r="Q28"/>
  <c r="O28"/>
  <c r="N28"/>
  <c r="R28" s="1"/>
  <c r="N27"/>
  <c r="Q27" s="1"/>
  <c r="N26"/>
  <c r="Q25"/>
  <c r="N25"/>
  <c r="O25" s="1"/>
  <c r="P24"/>
  <c r="N24"/>
  <c r="Q24" s="1"/>
  <c r="N23"/>
  <c r="Q22"/>
  <c r="N22"/>
  <c r="O22" s="1"/>
  <c r="Q21"/>
  <c r="P21"/>
  <c r="O21"/>
  <c r="N21"/>
  <c r="R21" s="1"/>
  <c r="N20"/>
  <c r="Q20" s="1"/>
  <c r="N19"/>
  <c r="Q18"/>
  <c r="N18"/>
  <c r="O18" s="1"/>
  <c r="Q17"/>
  <c r="O17"/>
  <c r="N17"/>
  <c r="R17" s="1"/>
  <c r="P16"/>
  <c r="N16"/>
  <c r="Q16" s="1"/>
  <c r="N15"/>
  <c r="Q14"/>
  <c r="N14"/>
  <c r="O14" s="1"/>
  <c r="R13"/>
  <c r="P13"/>
  <c r="O13"/>
  <c r="N12"/>
  <c r="Q11"/>
  <c r="N11"/>
  <c r="O11" s="1"/>
  <c r="U12" i="180"/>
  <c r="T12"/>
  <c r="R12"/>
  <c r="Q12"/>
  <c r="P12"/>
  <c r="O12"/>
  <c r="N12"/>
  <c r="U13"/>
  <c r="T13"/>
  <c r="R13"/>
  <c r="Q13"/>
  <c r="P13"/>
  <c r="O13"/>
  <c r="C53" i="192" l="1"/>
  <c r="C56" s="1"/>
  <c r="C53" i="191"/>
  <c r="C56" s="1"/>
  <c r="T32" i="190"/>
  <c r="T33" s="1"/>
  <c r="U11"/>
  <c r="U32" s="1"/>
  <c r="T32" i="189"/>
  <c r="T33" s="1"/>
  <c r="U11"/>
  <c r="U32" s="1"/>
  <c r="T32" i="188"/>
  <c r="T33" s="1"/>
  <c r="U11"/>
  <c r="U32" s="1"/>
  <c r="U32" i="187"/>
  <c r="T32"/>
  <c r="T33" s="1"/>
  <c r="T12" i="186"/>
  <c r="T13" s="1"/>
  <c r="U12"/>
  <c r="Q17" i="185"/>
  <c r="Q11"/>
  <c r="O11"/>
  <c r="Q31"/>
  <c r="Q27"/>
  <c r="Q23"/>
  <c r="Q19"/>
  <c r="O19"/>
  <c r="O15"/>
  <c r="O13"/>
  <c r="Q15"/>
  <c r="P14"/>
  <c r="P11"/>
  <c r="Q12"/>
  <c r="R13"/>
  <c r="O14"/>
  <c r="P15"/>
  <c r="Q16"/>
  <c r="R17"/>
  <c r="O18"/>
  <c r="P19"/>
  <c r="Q20"/>
  <c r="R21"/>
  <c r="O22"/>
  <c r="P23"/>
  <c r="T23" s="1"/>
  <c r="U23" s="1"/>
  <c r="Q24"/>
  <c r="R25"/>
  <c r="O26"/>
  <c r="P27"/>
  <c r="T27" s="1"/>
  <c r="U27" s="1"/>
  <c r="Q28"/>
  <c r="R29"/>
  <c r="T29" s="1"/>
  <c r="U29" s="1"/>
  <c r="O30"/>
  <c r="P31"/>
  <c r="T31" s="1"/>
  <c r="U31" s="1"/>
  <c r="Q32"/>
  <c r="R33"/>
  <c r="T33" s="1"/>
  <c r="U33" s="1"/>
  <c r="O34"/>
  <c r="N35"/>
  <c r="P16"/>
  <c r="P20"/>
  <c r="P24"/>
  <c r="R26"/>
  <c r="P28"/>
  <c r="R30"/>
  <c r="P32"/>
  <c r="U32"/>
  <c r="R34"/>
  <c r="P12"/>
  <c r="R14"/>
  <c r="R18"/>
  <c r="O12"/>
  <c r="P13"/>
  <c r="O16"/>
  <c r="P17"/>
  <c r="T17" s="1"/>
  <c r="U17" s="1"/>
  <c r="Q18"/>
  <c r="O20"/>
  <c r="P21"/>
  <c r="T21" s="1"/>
  <c r="U21" s="1"/>
  <c r="Q22"/>
  <c r="O24"/>
  <c r="T24" s="1"/>
  <c r="U24" s="1"/>
  <c r="P25"/>
  <c r="T25" s="1"/>
  <c r="U25" s="1"/>
  <c r="Q26"/>
  <c r="O28"/>
  <c r="T28" s="1"/>
  <c r="U28" s="1"/>
  <c r="P29"/>
  <c r="Q30"/>
  <c r="O32"/>
  <c r="T32" s="1"/>
  <c r="Q34"/>
  <c r="P26"/>
  <c r="P30"/>
  <c r="P34"/>
  <c r="N35" i="184"/>
  <c r="P11" i="183"/>
  <c r="R13"/>
  <c r="P15"/>
  <c r="R17"/>
  <c r="P19"/>
  <c r="R21"/>
  <c r="P23"/>
  <c r="R25"/>
  <c r="P27"/>
  <c r="R29"/>
  <c r="P31"/>
  <c r="R33"/>
  <c r="N35"/>
  <c r="O11"/>
  <c r="P12"/>
  <c r="T12" s="1"/>
  <c r="U12" s="1"/>
  <c r="Q13"/>
  <c r="Q35" s="1"/>
  <c r="R14"/>
  <c r="O15"/>
  <c r="T15" s="1"/>
  <c r="U15" s="1"/>
  <c r="P16"/>
  <c r="T16" s="1"/>
  <c r="U16" s="1"/>
  <c r="Q17"/>
  <c r="R18"/>
  <c r="T18" s="1"/>
  <c r="U18" s="1"/>
  <c r="O19"/>
  <c r="P20"/>
  <c r="T20" s="1"/>
  <c r="U20" s="1"/>
  <c r="Q21"/>
  <c r="T21" s="1"/>
  <c r="U21" s="1"/>
  <c r="R22"/>
  <c r="O23"/>
  <c r="T23" s="1"/>
  <c r="U23" s="1"/>
  <c r="P24"/>
  <c r="T24" s="1"/>
  <c r="U24" s="1"/>
  <c r="Q25"/>
  <c r="R26"/>
  <c r="T26" s="1"/>
  <c r="U26" s="1"/>
  <c r="O27"/>
  <c r="P28"/>
  <c r="T28" s="1"/>
  <c r="U28" s="1"/>
  <c r="Q29"/>
  <c r="T29" s="1"/>
  <c r="U29" s="1"/>
  <c r="R30"/>
  <c r="O31"/>
  <c r="T31" s="1"/>
  <c r="U31" s="1"/>
  <c r="P32"/>
  <c r="T32" s="1"/>
  <c r="U32" s="1"/>
  <c r="Q33"/>
  <c r="R34"/>
  <c r="T34" s="1"/>
  <c r="U34" s="1"/>
  <c r="R11"/>
  <c r="P13"/>
  <c r="T13" s="1"/>
  <c r="U13" s="1"/>
  <c r="R15"/>
  <c r="P17"/>
  <c r="T17" s="1"/>
  <c r="U17" s="1"/>
  <c r="R19"/>
  <c r="P21"/>
  <c r="R23"/>
  <c r="P25"/>
  <c r="T25" s="1"/>
  <c r="U25" s="1"/>
  <c r="R27"/>
  <c r="P29"/>
  <c r="R31"/>
  <c r="P33"/>
  <c r="T33" s="1"/>
  <c r="U33" s="1"/>
  <c r="P14"/>
  <c r="T14" s="1"/>
  <c r="U14" s="1"/>
  <c r="P18"/>
  <c r="P22"/>
  <c r="T22" s="1"/>
  <c r="U22" s="1"/>
  <c r="P26"/>
  <c r="P30"/>
  <c r="T30" s="1"/>
  <c r="U30" s="1"/>
  <c r="P34"/>
  <c r="R17" i="182"/>
  <c r="P19"/>
  <c r="R25"/>
  <c r="P27"/>
  <c r="R29"/>
  <c r="P31"/>
  <c r="R33"/>
  <c r="N35"/>
  <c r="P11"/>
  <c r="R13"/>
  <c r="P15"/>
  <c r="R21"/>
  <c r="P23"/>
  <c r="O11"/>
  <c r="P12"/>
  <c r="T12" s="1"/>
  <c r="U12" s="1"/>
  <c r="Q13"/>
  <c r="Q35" s="1"/>
  <c r="R14"/>
  <c r="O15"/>
  <c r="P16"/>
  <c r="T16" s="1"/>
  <c r="U16" s="1"/>
  <c r="Q17"/>
  <c r="R18"/>
  <c r="O19"/>
  <c r="P20"/>
  <c r="T20" s="1"/>
  <c r="U20" s="1"/>
  <c r="Q21"/>
  <c r="R22"/>
  <c r="O23"/>
  <c r="T23" s="1"/>
  <c r="U23" s="1"/>
  <c r="P24"/>
  <c r="T24" s="1"/>
  <c r="U24" s="1"/>
  <c r="Q25"/>
  <c r="R26"/>
  <c r="O27"/>
  <c r="P28"/>
  <c r="T28" s="1"/>
  <c r="U28" s="1"/>
  <c r="Q29"/>
  <c r="R30"/>
  <c r="O31"/>
  <c r="P32"/>
  <c r="T32" s="1"/>
  <c r="U32" s="1"/>
  <c r="Q33"/>
  <c r="R34"/>
  <c r="R15"/>
  <c r="P17"/>
  <c r="T17" s="1"/>
  <c r="U17" s="1"/>
  <c r="P21"/>
  <c r="T21" s="1"/>
  <c r="U21" s="1"/>
  <c r="R23"/>
  <c r="P25"/>
  <c r="T25" s="1"/>
  <c r="U25" s="1"/>
  <c r="R27"/>
  <c r="P29"/>
  <c r="T29" s="1"/>
  <c r="U29" s="1"/>
  <c r="R31"/>
  <c r="P33"/>
  <c r="T33" s="1"/>
  <c r="U33" s="1"/>
  <c r="R11"/>
  <c r="P13"/>
  <c r="T13" s="1"/>
  <c r="U13" s="1"/>
  <c r="R19"/>
  <c r="P14"/>
  <c r="T14" s="1"/>
  <c r="U14" s="1"/>
  <c r="P18"/>
  <c r="T18" s="1"/>
  <c r="U18" s="1"/>
  <c r="P22"/>
  <c r="T22" s="1"/>
  <c r="U22" s="1"/>
  <c r="P26"/>
  <c r="T26" s="1"/>
  <c r="U26" s="1"/>
  <c r="P30"/>
  <c r="T30" s="1"/>
  <c r="U30" s="1"/>
  <c r="P34"/>
  <c r="T34" s="1"/>
  <c r="U34" s="1"/>
  <c r="O16" i="181"/>
  <c r="P17"/>
  <c r="T17" s="1"/>
  <c r="U17" s="1"/>
  <c r="O24"/>
  <c r="O31"/>
  <c r="P32"/>
  <c r="P20"/>
  <c r="P27"/>
  <c r="O20"/>
  <c r="O27"/>
  <c r="P28"/>
  <c r="P31"/>
  <c r="T13"/>
  <c r="U13" s="1"/>
  <c r="T32"/>
  <c r="U32" s="1"/>
  <c r="T21"/>
  <c r="U21" s="1"/>
  <c r="T28"/>
  <c r="U28" s="1"/>
  <c r="R15"/>
  <c r="R11"/>
  <c r="O12"/>
  <c r="R14"/>
  <c r="O15"/>
  <c r="R18"/>
  <c r="O19"/>
  <c r="R22"/>
  <c r="O23"/>
  <c r="R25"/>
  <c r="O26"/>
  <c r="R29"/>
  <c r="O30"/>
  <c r="R33"/>
  <c r="O34"/>
  <c r="N35"/>
  <c r="R12"/>
  <c r="R26"/>
  <c r="R23"/>
  <c r="P11"/>
  <c r="T11" s="1"/>
  <c r="Q12"/>
  <c r="P18"/>
  <c r="T18" s="1"/>
  <c r="U18" s="1"/>
  <c r="Q19"/>
  <c r="R20"/>
  <c r="P22"/>
  <c r="T22" s="1"/>
  <c r="U22" s="1"/>
  <c r="Q23"/>
  <c r="R24"/>
  <c r="T24" s="1"/>
  <c r="U24" s="1"/>
  <c r="P25"/>
  <c r="T25" s="1"/>
  <c r="U25" s="1"/>
  <c r="Q26"/>
  <c r="R27"/>
  <c r="T27" s="1"/>
  <c r="U27" s="1"/>
  <c r="P29"/>
  <c r="T29" s="1"/>
  <c r="U29" s="1"/>
  <c r="Q30"/>
  <c r="R31"/>
  <c r="P33"/>
  <c r="T33" s="1"/>
  <c r="U33" s="1"/>
  <c r="Q34"/>
  <c r="R19"/>
  <c r="R30"/>
  <c r="R34"/>
  <c r="P14"/>
  <c r="T14" s="1"/>
  <c r="U14" s="1"/>
  <c r="Q15"/>
  <c r="R16"/>
  <c r="T16" s="1"/>
  <c r="U16" s="1"/>
  <c r="P12"/>
  <c r="P15"/>
  <c r="P19"/>
  <c r="P23"/>
  <c r="P26"/>
  <c r="P30"/>
  <c r="P34"/>
  <c r="S36" i="180"/>
  <c r="M36"/>
  <c r="K36"/>
  <c r="P35"/>
  <c r="N35"/>
  <c r="Q35" s="1"/>
  <c r="Q34"/>
  <c r="O34"/>
  <c r="N34"/>
  <c r="N33"/>
  <c r="R33" s="1"/>
  <c r="Q32"/>
  <c r="O32"/>
  <c r="N32"/>
  <c r="R32" s="1"/>
  <c r="P31"/>
  <c r="N31"/>
  <c r="Q31" s="1"/>
  <c r="Q30"/>
  <c r="O30"/>
  <c r="N30"/>
  <c r="N29"/>
  <c r="R29" s="1"/>
  <c r="Q28"/>
  <c r="P28"/>
  <c r="O28"/>
  <c r="N28"/>
  <c r="R28" s="1"/>
  <c r="P27"/>
  <c r="N27"/>
  <c r="Q27" s="1"/>
  <c r="Q26"/>
  <c r="O26"/>
  <c r="N26"/>
  <c r="N25"/>
  <c r="R25" s="1"/>
  <c r="Q24"/>
  <c r="P24"/>
  <c r="O24"/>
  <c r="N24"/>
  <c r="R24" s="1"/>
  <c r="P23"/>
  <c r="N23"/>
  <c r="Q23" s="1"/>
  <c r="Q22"/>
  <c r="O22"/>
  <c r="N22"/>
  <c r="N21"/>
  <c r="R21" s="1"/>
  <c r="Q20"/>
  <c r="O20"/>
  <c r="N20"/>
  <c r="R20" s="1"/>
  <c r="P19"/>
  <c r="N19"/>
  <c r="Q19" s="1"/>
  <c r="Q18"/>
  <c r="O18"/>
  <c r="N18"/>
  <c r="N17"/>
  <c r="R17" s="1"/>
  <c r="Q16"/>
  <c r="O16"/>
  <c r="N16"/>
  <c r="R16" s="1"/>
  <c r="P15"/>
  <c r="N15"/>
  <c r="Q15" s="1"/>
  <c r="Q14"/>
  <c r="O14"/>
  <c r="N14"/>
  <c r="N11"/>
  <c r="R11" s="1"/>
  <c r="S34" i="179"/>
  <c r="M34"/>
  <c r="K34"/>
  <c r="Q33"/>
  <c r="O33"/>
  <c r="N33"/>
  <c r="P32"/>
  <c r="N32"/>
  <c r="O32" s="1"/>
  <c r="Q31"/>
  <c r="O31"/>
  <c r="N31"/>
  <c r="R31" s="1"/>
  <c r="N30"/>
  <c r="Q30" s="1"/>
  <c r="Q29"/>
  <c r="O29"/>
  <c r="N29"/>
  <c r="N28"/>
  <c r="O28" s="1"/>
  <c r="Q27"/>
  <c r="O27"/>
  <c r="N27"/>
  <c r="R27" s="1"/>
  <c r="N26"/>
  <c r="Q26" s="1"/>
  <c r="Q25"/>
  <c r="O25"/>
  <c r="N25"/>
  <c r="N24"/>
  <c r="O24" s="1"/>
  <c r="Q23"/>
  <c r="O23"/>
  <c r="N23"/>
  <c r="R23" s="1"/>
  <c r="N22"/>
  <c r="Q22" s="1"/>
  <c r="Q21"/>
  <c r="O21"/>
  <c r="N21"/>
  <c r="N20"/>
  <c r="O20" s="1"/>
  <c r="Q19"/>
  <c r="O19"/>
  <c r="N19"/>
  <c r="R19" s="1"/>
  <c r="N18"/>
  <c r="Q18" s="1"/>
  <c r="Q17"/>
  <c r="O17"/>
  <c r="N17"/>
  <c r="N16"/>
  <c r="O16" s="1"/>
  <c r="Q15"/>
  <c r="O15"/>
  <c r="N15"/>
  <c r="R15" s="1"/>
  <c r="N14"/>
  <c r="Q14" s="1"/>
  <c r="Q13"/>
  <c r="O13"/>
  <c r="N13"/>
  <c r="N12"/>
  <c r="O12" s="1"/>
  <c r="Q11"/>
  <c r="O11"/>
  <c r="N11"/>
  <c r="R11" s="1"/>
  <c r="S34" i="178"/>
  <c r="M34"/>
  <c r="K34"/>
  <c r="N33"/>
  <c r="Q32"/>
  <c r="P32"/>
  <c r="O32"/>
  <c r="N32"/>
  <c r="R32" s="1"/>
  <c r="N31"/>
  <c r="R31" s="1"/>
  <c r="Q30"/>
  <c r="O30"/>
  <c r="N30"/>
  <c r="R30" s="1"/>
  <c r="N29"/>
  <c r="Q28"/>
  <c r="P28"/>
  <c r="O28"/>
  <c r="T28" s="1"/>
  <c r="U28" s="1"/>
  <c r="N28"/>
  <c r="R28" s="1"/>
  <c r="N27"/>
  <c r="R27" s="1"/>
  <c r="Q26"/>
  <c r="O26"/>
  <c r="N26"/>
  <c r="R26" s="1"/>
  <c r="N25"/>
  <c r="Q24"/>
  <c r="P24"/>
  <c r="O24"/>
  <c r="N24"/>
  <c r="R24" s="1"/>
  <c r="N23"/>
  <c r="R23" s="1"/>
  <c r="Q22"/>
  <c r="O22"/>
  <c r="N22"/>
  <c r="R22" s="1"/>
  <c r="N21"/>
  <c r="Q20"/>
  <c r="P20"/>
  <c r="O20"/>
  <c r="T20" s="1"/>
  <c r="U20" s="1"/>
  <c r="N20"/>
  <c r="R20" s="1"/>
  <c r="N19"/>
  <c r="R19" s="1"/>
  <c r="Q18"/>
  <c r="O18"/>
  <c r="N18"/>
  <c r="R18" s="1"/>
  <c r="N17"/>
  <c r="Q16"/>
  <c r="O16"/>
  <c r="N16"/>
  <c r="N15"/>
  <c r="R15" s="1"/>
  <c r="Q14"/>
  <c r="O14"/>
  <c r="N14"/>
  <c r="R14" s="1"/>
  <c r="N13"/>
  <c r="Q12"/>
  <c r="O12"/>
  <c r="N12"/>
  <c r="N11"/>
  <c r="R11" s="1"/>
  <c r="S34" i="177"/>
  <c r="M34"/>
  <c r="K34"/>
  <c r="Q33"/>
  <c r="O33"/>
  <c r="N33"/>
  <c r="N32"/>
  <c r="O32" s="1"/>
  <c r="Q31"/>
  <c r="P31"/>
  <c r="O31"/>
  <c r="N31"/>
  <c r="R31" s="1"/>
  <c r="P30"/>
  <c r="N30"/>
  <c r="Q30" s="1"/>
  <c r="Q29"/>
  <c r="O29"/>
  <c r="N29"/>
  <c r="N28"/>
  <c r="O28" s="1"/>
  <c r="Q27"/>
  <c r="P27"/>
  <c r="O27"/>
  <c r="N27"/>
  <c r="R27" s="1"/>
  <c r="P26"/>
  <c r="N26"/>
  <c r="Q26" s="1"/>
  <c r="Q25"/>
  <c r="O25"/>
  <c r="N25"/>
  <c r="N24"/>
  <c r="O24" s="1"/>
  <c r="Q23"/>
  <c r="P23"/>
  <c r="O23"/>
  <c r="N23"/>
  <c r="R23" s="1"/>
  <c r="P22"/>
  <c r="N22"/>
  <c r="Q22" s="1"/>
  <c r="Q21"/>
  <c r="O21"/>
  <c r="N21"/>
  <c r="N20"/>
  <c r="O20" s="1"/>
  <c r="Q19"/>
  <c r="P19"/>
  <c r="O19"/>
  <c r="N19"/>
  <c r="R19" s="1"/>
  <c r="P18"/>
  <c r="N18"/>
  <c r="Q18" s="1"/>
  <c r="Q17"/>
  <c r="O17"/>
  <c r="N17"/>
  <c r="N16"/>
  <c r="O16" s="1"/>
  <c r="Q15"/>
  <c r="P15"/>
  <c r="O15"/>
  <c r="N15"/>
  <c r="R15" s="1"/>
  <c r="P14"/>
  <c r="N14"/>
  <c r="Q14" s="1"/>
  <c r="Q13"/>
  <c r="O13"/>
  <c r="N13"/>
  <c r="N12"/>
  <c r="O12" s="1"/>
  <c r="Q11"/>
  <c r="P11"/>
  <c r="O11"/>
  <c r="N11"/>
  <c r="R11" s="1"/>
  <c r="T11" i="185" l="1"/>
  <c r="T20"/>
  <c r="U20" s="1"/>
  <c r="T19"/>
  <c r="U19" s="1"/>
  <c r="T15"/>
  <c r="U15" s="1"/>
  <c r="T13"/>
  <c r="U13" s="1"/>
  <c r="R35"/>
  <c r="Q35"/>
  <c r="O35"/>
  <c r="U11"/>
  <c r="T30"/>
  <c r="U30" s="1"/>
  <c r="T12"/>
  <c r="U12" s="1"/>
  <c r="T34"/>
  <c r="U34" s="1"/>
  <c r="T18"/>
  <c r="U18" s="1"/>
  <c r="T22"/>
  <c r="U22" s="1"/>
  <c r="T16"/>
  <c r="U16" s="1"/>
  <c r="T26"/>
  <c r="U26" s="1"/>
  <c r="T14"/>
  <c r="U14" s="1"/>
  <c r="P35"/>
  <c r="O35" i="183"/>
  <c r="T11"/>
  <c r="T27"/>
  <c r="U27" s="1"/>
  <c r="P35"/>
  <c r="R35"/>
  <c r="T19"/>
  <c r="U19" s="1"/>
  <c r="T31" i="182"/>
  <c r="U31" s="1"/>
  <c r="T15"/>
  <c r="U15" s="1"/>
  <c r="R35"/>
  <c r="T19"/>
  <c r="U19" s="1"/>
  <c r="O35"/>
  <c r="T11"/>
  <c r="T27"/>
  <c r="U27" s="1"/>
  <c r="P35"/>
  <c r="T20" i="181"/>
  <c r="U20" s="1"/>
  <c r="Q35"/>
  <c r="T31"/>
  <c r="U31" s="1"/>
  <c r="U11"/>
  <c r="T34"/>
  <c r="U34" s="1"/>
  <c r="T26"/>
  <c r="U26" s="1"/>
  <c r="T19"/>
  <c r="U19" s="1"/>
  <c r="T12"/>
  <c r="U12" s="1"/>
  <c r="P35"/>
  <c r="T30"/>
  <c r="U30" s="1"/>
  <c r="T23"/>
  <c r="U23" s="1"/>
  <c r="T15"/>
  <c r="U15" s="1"/>
  <c r="R35"/>
  <c r="O35"/>
  <c r="T20" i="180"/>
  <c r="T28"/>
  <c r="T24"/>
  <c r="T34"/>
  <c r="U34" s="1"/>
  <c r="Q11"/>
  <c r="R14"/>
  <c r="R36" s="1"/>
  <c r="O15"/>
  <c r="P16"/>
  <c r="T16" s="1"/>
  <c r="U16" s="1"/>
  <c r="Q17"/>
  <c r="R18"/>
  <c r="O19"/>
  <c r="T19" s="1"/>
  <c r="U19" s="1"/>
  <c r="P20"/>
  <c r="U20"/>
  <c r="Q21"/>
  <c r="R22"/>
  <c r="O23"/>
  <c r="U24"/>
  <c r="Q25"/>
  <c r="R26"/>
  <c r="O27"/>
  <c r="U28"/>
  <c r="Q29"/>
  <c r="R30"/>
  <c r="T30" s="1"/>
  <c r="U30" s="1"/>
  <c r="O31"/>
  <c r="P32"/>
  <c r="T32" s="1"/>
  <c r="U32" s="1"/>
  <c r="Q33"/>
  <c r="R34"/>
  <c r="O35"/>
  <c r="T35" s="1"/>
  <c r="U35" s="1"/>
  <c r="N36"/>
  <c r="P11"/>
  <c r="R15"/>
  <c r="P17"/>
  <c r="R19"/>
  <c r="P21"/>
  <c r="R23"/>
  <c r="P25"/>
  <c r="R27"/>
  <c r="P29"/>
  <c r="R31"/>
  <c r="P33"/>
  <c r="R35"/>
  <c r="O11"/>
  <c r="P14"/>
  <c r="T14" s="1"/>
  <c r="U14" s="1"/>
  <c r="O17"/>
  <c r="T17" s="1"/>
  <c r="U17" s="1"/>
  <c r="P18"/>
  <c r="T18" s="1"/>
  <c r="U18" s="1"/>
  <c r="O21"/>
  <c r="T21" s="1"/>
  <c r="U21" s="1"/>
  <c r="P22"/>
  <c r="T22" s="1"/>
  <c r="U22" s="1"/>
  <c r="O25"/>
  <c r="P26"/>
  <c r="T26" s="1"/>
  <c r="U26" s="1"/>
  <c r="O29"/>
  <c r="T29" s="1"/>
  <c r="U29" s="1"/>
  <c r="P30"/>
  <c r="O33"/>
  <c r="T33" s="1"/>
  <c r="U33" s="1"/>
  <c r="P34"/>
  <c r="R12" i="179"/>
  <c r="R34" s="1"/>
  <c r="P14"/>
  <c r="R16"/>
  <c r="P18"/>
  <c r="R20"/>
  <c r="P22"/>
  <c r="R24"/>
  <c r="P26"/>
  <c r="R28"/>
  <c r="P30"/>
  <c r="R32"/>
  <c r="N34"/>
  <c r="P11"/>
  <c r="T11" s="1"/>
  <c r="Q12"/>
  <c r="Q34" s="1"/>
  <c r="R13"/>
  <c r="O14"/>
  <c r="O34" s="1"/>
  <c r="P15"/>
  <c r="T15" s="1"/>
  <c r="U15" s="1"/>
  <c r="Q16"/>
  <c r="R17"/>
  <c r="O18"/>
  <c r="P19"/>
  <c r="T19" s="1"/>
  <c r="U19" s="1"/>
  <c r="Q20"/>
  <c r="R21"/>
  <c r="O22"/>
  <c r="P23"/>
  <c r="T23" s="1"/>
  <c r="U23" s="1"/>
  <c r="Q24"/>
  <c r="R25"/>
  <c r="O26"/>
  <c r="T26" s="1"/>
  <c r="U26" s="1"/>
  <c r="P27"/>
  <c r="T27" s="1"/>
  <c r="U27" s="1"/>
  <c r="Q28"/>
  <c r="R29"/>
  <c r="O30"/>
  <c r="P31"/>
  <c r="T31" s="1"/>
  <c r="U31" s="1"/>
  <c r="Q32"/>
  <c r="T32" s="1"/>
  <c r="U32" s="1"/>
  <c r="R33"/>
  <c r="P12"/>
  <c r="T12" s="1"/>
  <c r="U12" s="1"/>
  <c r="R14"/>
  <c r="P16"/>
  <c r="T16" s="1"/>
  <c r="U16" s="1"/>
  <c r="R18"/>
  <c r="P20"/>
  <c r="T20" s="1"/>
  <c r="U20" s="1"/>
  <c r="R22"/>
  <c r="P24"/>
  <c r="T24" s="1"/>
  <c r="U24" s="1"/>
  <c r="R26"/>
  <c r="P28"/>
  <c r="T28" s="1"/>
  <c r="U28" s="1"/>
  <c r="R30"/>
  <c r="P13"/>
  <c r="T13" s="1"/>
  <c r="U13" s="1"/>
  <c r="P17"/>
  <c r="T17" s="1"/>
  <c r="U17" s="1"/>
  <c r="P21"/>
  <c r="T21" s="1"/>
  <c r="U21" s="1"/>
  <c r="P25"/>
  <c r="T25" s="1"/>
  <c r="U25" s="1"/>
  <c r="P29"/>
  <c r="T29" s="1"/>
  <c r="U29" s="1"/>
  <c r="P33"/>
  <c r="T33" s="1"/>
  <c r="U33" s="1"/>
  <c r="T26" i="178"/>
  <c r="T22"/>
  <c r="T24"/>
  <c r="U24" s="1"/>
  <c r="T18"/>
  <c r="T32"/>
  <c r="U32" s="1"/>
  <c r="Q11"/>
  <c r="R12"/>
  <c r="R34" s="1"/>
  <c r="O13"/>
  <c r="P14"/>
  <c r="T14" s="1"/>
  <c r="U14" s="1"/>
  <c r="Q15"/>
  <c r="R16"/>
  <c r="O17"/>
  <c r="T17" s="1"/>
  <c r="U17" s="1"/>
  <c r="P18"/>
  <c r="U18"/>
  <c r="Q19"/>
  <c r="O21"/>
  <c r="P22"/>
  <c r="U22"/>
  <c r="Q23"/>
  <c r="O25"/>
  <c r="T25" s="1"/>
  <c r="U25" s="1"/>
  <c r="P26"/>
  <c r="U26"/>
  <c r="Q27"/>
  <c r="O29"/>
  <c r="P30"/>
  <c r="T30" s="1"/>
  <c r="U30" s="1"/>
  <c r="Q31"/>
  <c r="O33"/>
  <c r="T33" s="1"/>
  <c r="U33" s="1"/>
  <c r="N34"/>
  <c r="P11"/>
  <c r="R13"/>
  <c r="P15"/>
  <c r="R17"/>
  <c r="P19"/>
  <c r="R21"/>
  <c r="P23"/>
  <c r="R25"/>
  <c r="P27"/>
  <c r="R29"/>
  <c r="P31"/>
  <c r="R33"/>
  <c r="O11"/>
  <c r="P12"/>
  <c r="T12" s="1"/>
  <c r="U12" s="1"/>
  <c r="Q13"/>
  <c r="O15"/>
  <c r="P16"/>
  <c r="T16" s="1"/>
  <c r="U16" s="1"/>
  <c r="Q17"/>
  <c r="O19"/>
  <c r="Q21"/>
  <c r="O23"/>
  <c r="T23" s="1"/>
  <c r="U23" s="1"/>
  <c r="Q25"/>
  <c r="O27"/>
  <c r="T27" s="1"/>
  <c r="U27" s="1"/>
  <c r="Q29"/>
  <c r="O31"/>
  <c r="T31" s="1"/>
  <c r="U31" s="1"/>
  <c r="Q33"/>
  <c r="P13"/>
  <c r="P17"/>
  <c r="P21"/>
  <c r="P25"/>
  <c r="P29"/>
  <c r="P33"/>
  <c r="T15" i="177"/>
  <c r="U15" s="1"/>
  <c r="T23"/>
  <c r="U23" s="1"/>
  <c r="T31"/>
  <c r="U31" s="1"/>
  <c r="T32"/>
  <c r="U32" s="1"/>
  <c r="T29"/>
  <c r="U29" s="1"/>
  <c r="T19"/>
  <c r="U19" s="1"/>
  <c r="T27"/>
  <c r="U27" s="1"/>
  <c r="R20"/>
  <c r="R24"/>
  <c r="R28"/>
  <c r="R32"/>
  <c r="N34"/>
  <c r="R12"/>
  <c r="R34" s="1"/>
  <c r="R16"/>
  <c r="Q12"/>
  <c r="Q34" s="1"/>
  <c r="R13"/>
  <c r="O14"/>
  <c r="O34" s="1"/>
  <c r="Q16"/>
  <c r="R17"/>
  <c r="O18"/>
  <c r="Q20"/>
  <c r="R21"/>
  <c r="O22"/>
  <c r="Q24"/>
  <c r="R25"/>
  <c r="O26"/>
  <c r="Q28"/>
  <c r="R29"/>
  <c r="O30"/>
  <c r="Q32"/>
  <c r="R33"/>
  <c r="R14"/>
  <c r="P16"/>
  <c r="T16" s="1"/>
  <c r="U16" s="1"/>
  <c r="R18"/>
  <c r="P20"/>
  <c r="T20" s="1"/>
  <c r="U20" s="1"/>
  <c r="R22"/>
  <c r="P24"/>
  <c r="T24" s="1"/>
  <c r="U24" s="1"/>
  <c r="R26"/>
  <c r="P28"/>
  <c r="T28" s="1"/>
  <c r="U28" s="1"/>
  <c r="R30"/>
  <c r="P32"/>
  <c r="T11"/>
  <c r="P12"/>
  <c r="T12" s="1"/>
  <c r="U12" s="1"/>
  <c r="P13"/>
  <c r="T13" s="1"/>
  <c r="U13" s="1"/>
  <c r="P17"/>
  <c r="T17" s="1"/>
  <c r="U17" s="1"/>
  <c r="P21"/>
  <c r="T21" s="1"/>
  <c r="U21" s="1"/>
  <c r="P25"/>
  <c r="T25" s="1"/>
  <c r="U25" s="1"/>
  <c r="P29"/>
  <c r="P33"/>
  <c r="T33" s="1"/>
  <c r="U33" s="1"/>
  <c r="T35" i="185" l="1"/>
  <c r="T36" s="1"/>
  <c r="U35"/>
  <c r="P36" i="184"/>
  <c r="Q35"/>
  <c r="T35" i="183"/>
  <c r="T36" s="1"/>
  <c r="U11"/>
  <c r="U35" s="1"/>
  <c r="T35" i="182"/>
  <c r="T36" s="1"/>
  <c r="U11"/>
  <c r="U35" s="1"/>
  <c r="T35" i="181"/>
  <c r="T36" s="1"/>
  <c r="U35"/>
  <c r="T25" i="180"/>
  <c r="U25" s="1"/>
  <c r="O36"/>
  <c r="T11"/>
  <c r="T15"/>
  <c r="U15" s="1"/>
  <c r="P36"/>
  <c r="T31"/>
  <c r="U31" s="1"/>
  <c r="T27"/>
  <c r="U27" s="1"/>
  <c r="T23"/>
  <c r="U23" s="1"/>
  <c r="Q36"/>
  <c r="U11" i="179"/>
  <c r="T18"/>
  <c r="U18" s="1"/>
  <c r="T22"/>
  <c r="U22" s="1"/>
  <c r="T30"/>
  <c r="U30" s="1"/>
  <c r="T14"/>
  <c r="U14" s="1"/>
  <c r="P34"/>
  <c r="T19" i="178"/>
  <c r="U19" s="1"/>
  <c r="P34"/>
  <c r="T15"/>
  <c r="U15" s="1"/>
  <c r="T13"/>
  <c r="U13" s="1"/>
  <c r="O34"/>
  <c r="T11"/>
  <c r="T29"/>
  <c r="U29" s="1"/>
  <c r="T21"/>
  <c r="U21" s="1"/>
  <c r="Q34"/>
  <c r="T26" i="177"/>
  <c r="U26" s="1"/>
  <c r="P34"/>
  <c r="T14"/>
  <c r="U14" s="1"/>
  <c r="T22"/>
  <c r="U22" s="1"/>
  <c r="T34"/>
  <c r="T35" s="1"/>
  <c r="U11"/>
  <c r="T30"/>
  <c r="U30" s="1"/>
  <c r="T18"/>
  <c r="U18" s="1"/>
  <c r="T36" i="180" l="1"/>
  <c r="T37" s="1"/>
  <c r="U11"/>
  <c r="U36" s="1"/>
  <c r="T34" i="179"/>
  <c r="T35" s="1"/>
  <c r="U34"/>
  <c r="T34" i="178"/>
  <c r="T35" s="1"/>
  <c r="U11"/>
  <c r="U34" s="1"/>
  <c r="U34" i="177"/>
  <c r="S32" i="175" l="1"/>
  <c r="S33"/>
  <c r="R34"/>
  <c r="P34"/>
  <c r="O34"/>
  <c r="M33"/>
  <c r="N34"/>
  <c r="S31"/>
  <c r="P31"/>
  <c r="O31"/>
  <c r="N31"/>
  <c r="S30"/>
  <c r="P30"/>
  <c r="O30"/>
  <c r="N30"/>
  <c r="S29"/>
  <c r="P29"/>
  <c r="O29"/>
  <c r="N29"/>
  <c r="S28"/>
  <c r="P28"/>
  <c r="O28"/>
  <c r="N28"/>
  <c r="S27"/>
  <c r="S26"/>
  <c r="S25"/>
  <c r="S24"/>
  <c r="P24"/>
  <c r="O24"/>
  <c r="N24"/>
  <c r="S23"/>
  <c r="P23"/>
  <c r="O23"/>
  <c r="N23"/>
  <c r="S20"/>
  <c r="S21"/>
  <c r="S22"/>
  <c r="P21"/>
  <c r="O21"/>
  <c r="N21"/>
  <c r="S19"/>
  <c r="S18"/>
  <c r="P18"/>
  <c r="O18"/>
  <c r="N18"/>
  <c r="S17"/>
  <c r="P17"/>
  <c r="O17"/>
  <c r="N17"/>
  <c r="S16"/>
  <c r="P16"/>
  <c r="O16"/>
  <c r="N16"/>
  <c r="S15"/>
  <c r="P15"/>
  <c r="O15"/>
  <c r="N15"/>
  <c r="S14"/>
  <c r="P14"/>
  <c r="O14"/>
  <c r="N14"/>
  <c r="S13"/>
  <c r="P13"/>
  <c r="O13"/>
  <c r="N13"/>
  <c r="S12"/>
  <c r="S11"/>
  <c r="P12"/>
  <c r="O12"/>
  <c r="N12"/>
  <c r="P11"/>
  <c r="O11"/>
  <c r="N11"/>
  <c r="S34" i="176" l="1"/>
  <c r="M34"/>
  <c r="K34"/>
  <c r="N33"/>
  <c r="N32"/>
  <c r="O32" s="1"/>
  <c r="N31"/>
  <c r="R31" s="1"/>
  <c r="O30"/>
  <c r="N30"/>
  <c r="R30" s="1"/>
  <c r="N29"/>
  <c r="O28"/>
  <c r="N28"/>
  <c r="Q28" s="1"/>
  <c r="N27"/>
  <c r="R27" s="1"/>
  <c r="N26"/>
  <c r="R26" s="1"/>
  <c r="N25"/>
  <c r="N24"/>
  <c r="O24" s="1"/>
  <c r="N23"/>
  <c r="R23" s="1"/>
  <c r="O22"/>
  <c r="N22"/>
  <c r="R22" s="1"/>
  <c r="N21"/>
  <c r="N20"/>
  <c r="O20" s="1"/>
  <c r="N19"/>
  <c r="R19" s="1"/>
  <c r="N18"/>
  <c r="R18" s="1"/>
  <c r="N17"/>
  <c r="N16"/>
  <c r="O16" s="1"/>
  <c r="N15"/>
  <c r="R15" s="1"/>
  <c r="N14"/>
  <c r="R14" s="1"/>
  <c r="N13"/>
  <c r="N12"/>
  <c r="O12" s="1"/>
  <c r="N11"/>
  <c r="R11" s="1"/>
  <c r="X34" i="175"/>
  <c r="Q34"/>
  <c r="K34"/>
  <c r="T33"/>
  <c r="U32"/>
  <c r="T32"/>
  <c r="W31"/>
  <c r="V30"/>
  <c r="T29"/>
  <c r="T28"/>
  <c r="W27"/>
  <c r="V26"/>
  <c r="T25"/>
  <c r="T24"/>
  <c r="W23"/>
  <c r="V22"/>
  <c r="T21"/>
  <c r="T20"/>
  <c r="W19"/>
  <c r="V18"/>
  <c r="T17"/>
  <c r="T16"/>
  <c r="W15"/>
  <c r="V14"/>
  <c r="T13"/>
  <c r="T12"/>
  <c r="W11"/>
  <c r="S34" i="174"/>
  <c r="M34"/>
  <c r="K34"/>
  <c r="N33"/>
  <c r="Q32"/>
  <c r="P32"/>
  <c r="O32"/>
  <c r="T32" s="1"/>
  <c r="U32" s="1"/>
  <c r="N32"/>
  <c r="R32" s="1"/>
  <c r="N31"/>
  <c r="R31" s="1"/>
  <c r="Q30"/>
  <c r="O30"/>
  <c r="N30"/>
  <c r="R30" s="1"/>
  <c r="N29"/>
  <c r="Q28"/>
  <c r="P28"/>
  <c r="O28"/>
  <c r="T28" s="1"/>
  <c r="U28" s="1"/>
  <c r="N28"/>
  <c r="R28" s="1"/>
  <c r="P27"/>
  <c r="N27"/>
  <c r="R27" s="1"/>
  <c r="Q26"/>
  <c r="O26"/>
  <c r="N26"/>
  <c r="R26" s="1"/>
  <c r="N25"/>
  <c r="Q24"/>
  <c r="P24"/>
  <c r="O24"/>
  <c r="N24"/>
  <c r="R24" s="1"/>
  <c r="N23"/>
  <c r="R23" s="1"/>
  <c r="Q22"/>
  <c r="O22"/>
  <c r="N22"/>
  <c r="R22" s="1"/>
  <c r="N21"/>
  <c r="Q20"/>
  <c r="P20"/>
  <c r="O20"/>
  <c r="T20" s="1"/>
  <c r="U20" s="1"/>
  <c r="N20"/>
  <c r="R20" s="1"/>
  <c r="N19"/>
  <c r="R19" s="1"/>
  <c r="Q18"/>
  <c r="O18"/>
  <c r="N18"/>
  <c r="R18" s="1"/>
  <c r="N17"/>
  <c r="Q16"/>
  <c r="P16"/>
  <c r="O16"/>
  <c r="T16" s="1"/>
  <c r="U16" s="1"/>
  <c r="N16"/>
  <c r="R16" s="1"/>
  <c r="N15"/>
  <c r="R15" s="1"/>
  <c r="Q14"/>
  <c r="O14"/>
  <c r="N14"/>
  <c r="R14" s="1"/>
  <c r="N13"/>
  <c r="Q12"/>
  <c r="P12"/>
  <c r="O12"/>
  <c r="N12"/>
  <c r="R12" s="1"/>
  <c r="N11"/>
  <c r="R11" s="1"/>
  <c r="S34" i="173"/>
  <c r="M34"/>
  <c r="K34"/>
  <c r="N33"/>
  <c r="Q32"/>
  <c r="N32"/>
  <c r="O32" s="1"/>
  <c r="Q31"/>
  <c r="P31"/>
  <c r="O31"/>
  <c r="N31"/>
  <c r="R31" s="1"/>
  <c r="P30"/>
  <c r="O30"/>
  <c r="N30"/>
  <c r="Q30" s="1"/>
  <c r="N29"/>
  <c r="Q28"/>
  <c r="N28"/>
  <c r="O28" s="1"/>
  <c r="Q27"/>
  <c r="P27"/>
  <c r="O27"/>
  <c r="N27"/>
  <c r="R27" s="1"/>
  <c r="P26"/>
  <c r="O26"/>
  <c r="N26"/>
  <c r="Q26" s="1"/>
  <c r="N25"/>
  <c r="Q24"/>
  <c r="N24"/>
  <c r="O24" s="1"/>
  <c r="Q23"/>
  <c r="P23"/>
  <c r="O23"/>
  <c r="N23"/>
  <c r="R23" s="1"/>
  <c r="P22"/>
  <c r="O22"/>
  <c r="N22"/>
  <c r="Q22" s="1"/>
  <c r="N21"/>
  <c r="Q20"/>
  <c r="N20"/>
  <c r="O20" s="1"/>
  <c r="Q19"/>
  <c r="P19"/>
  <c r="O19"/>
  <c r="N19"/>
  <c r="R19" s="1"/>
  <c r="P18"/>
  <c r="O18"/>
  <c r="N18"/>
  <c r="Q18" s="1"/>
  <c r="N17"/>
  <c r="Q16"/>
  <c r="N16"/>
  <c r="O16" s="1"/>
  <c r="Q15"/>
  <c r="P15"/>
  <c r="O15"/>
  <c r="N15"/>
  <c r="R15" s="1"/>
  <c r="P14"/>
  <c r="O14"/>
  <c r="N14"/>
  <c r="Q14" s="1"/>
  <c r="N13"/>
  <c r="Q12"/>
  <c r="N12"/>
  <c r="O12" s="1"/>
  <c r="Q11"/>
  <c r="P11"/>
  <c r="O11"/>
  <c r="N11"/>
  <c r="R11" s="1"/>
  <c r="N23" i="172"/>
  <c r="Q23" s="1"/>
  <c r="S34"/>
  <c r="M34"/>
  <c r="K34"/>
  <c r="N33"/>
  <c r="O33" s="1"/>
  <c r="N32"/>
  <c r="O32" s="1"/>
  <c r="N31"/>
  <c r="R31" s="1"/>
  <c r="N30"/>
  <c r="Q30" s="1"/>
  <c r="N29"/>
  <c r="O29" s="1"/>
  <c r="N28"/>
  <c r="O28" s="1"/>
  <c r="N27"/>
  <c r="R27" s="1"/>
  <c r="N26"/>
  <c r="Q26" s="1"/>
  <c r="N25"/>
  <c r="O25" s="1"/>
  <c r="N24"/>
  <c r="O24" s="1"/>
  <c r="N22"/>
  <c r="R22" s="1"/>
  <c r="N21"/>
  <c r="Q21" s="1"/>
  <c r="N20"/>
  <c r="O20" s="1"/>
  <c r="N19"/>
  <c r="O19" s="1"/>
  <c r="N18"/>
  <c r="R18" s="1"/>
  <c r="N17"/>
  <c r="Q17" s="1"/>
  <c r="N16"/>
  <c r="O16" s="1"/>
  <c r="N15"/>
  <c r="O15" s="1"/>
  <c r="N14"/>
  <c r="R14" s="1"/>
  <c r="N13"/>
  <c r="Q13" s="1"/>
  <c r="N12"/>
  <c r="O12" s="1"/>
  <c r="N11"/>
  <c r="O11" s="1"/>
  <c r="S12" i="171"/>
  <c r="M12"/>
  <c r="K12"/>
  <c r="N11"/>
  <c r="S33" i="170"/>
  <c r="M33"/>
  <c r="K33"/>
  <c r="N32"/>
  <c r="Q31"/>
  <c r="P31"/>
  <c r="O31"/>
  <c r="T31" s="1"/>
  <c r="U31" s="1"/>
  <c r="N31"/>
  <c r="R31" s="1"/>
  <c r="N30"/>
  <c r="R30" s="1"/>
  <c r="N29"/>
  <c r="R29" s="1"/>
  <c r="N28"/>
  <c r="N27"/>
  <c r="O27" s="1"/>
  <c r="N26"/>
  <c r="R26" s="1"/>
  <c r="N25"/>
  <c r="R25" s="1"/>
  <c r="N24"/>
  <c r="Q23"/>
  <c r="O23"/>
  <c r="N23"/>
  <c r="N22"/>
  <c r="R22" s="1"/>
  <c r="N21"/>
  <c r="R21" s="1"/>
  <c r="N20"/>
  <c r="Q19"/>
  <c r="O19"/>
  <c r="N19"/>
  <c r="N18"/>
  <c r="R18" s="1"/>
  <c r="N17"/>
  <c r="R17" s="1"/>
  <c r="N16"/>
  <c r="Q15"/>
  <c r="O15"/>
  <c r="N15"/>
  <c r="N14"/>
  <c r="R14" s="1"/>
  <c r="N13"/>
  <c r="R13" s="1"/>
  <c r="N12"/>
  <c r="P12" s="1"/>
  <c r="Q11"/>
  <c r="O11"/>
  <c r="N11"/>
  <c r="S33" i="169"/>
  <c r="M33"/>
  <c r="K33"/>
  <c r="N32"/>
  <c r="Q31"/>
  <c r="P31"/>
  <c r="O31"/>
  <c r="N31"/>
  <c r="R31" s="1"/>
  <c r="N30"/>
  <c r="R30" s="1"/>
  <c r="Q29"/>
  <c r="O29"/>
  <c r="N29"/>
  <c r="R29" s="1"/>
  <c r="N28"/>
  <c r="Q27"/>
  <c r="P27"/>
  <c r="O27"/>
  <c r="N27"/>
  <c r="N26"/>
  <c r="R26" s="1"/>
  <c r="Q25"/>
  <c r="O25"/>
  <c r="N25"/>
  <c r="R25" s="1"/>
  <c r="N24"/>
  <c r="Q23"/>
  <c r="O23"/>
  <c r="N23"/>
  <c r="N22"/>
  <c r="R22" s="1"/>
  <c r="Q21"/>
  <c r="O21"/>
  <c r="N21"/>
  <c r="R21" s="1"/>
  <c r="N20"/>
  <c r="Q19"/>
  <c r="O19"/>
  <c r="N19"/>
  <c r="N18"/>
  <c r="R18" s="1"/>
  <c r="Q17"/>
  <c r="O17"/>
  <c r="N17"/>
  <c r="R17" s="1"/>
  <c r="N16"/>
  <c r="P16" s="1"/>
  <c r="Q15"/>
  <c r="O15"/>
  <c r="N15"/>
  <c r="N14"/>
  <c r="R14" s="1"/>
  <c r="Q13"/>
  <c r="O13"/>
  <c r="N13"/>
  <c r="R13" s="1"/>
  <c r="N12"/>
  <c r="P12" s="1"/>
  <c r="Q11"/>
  <c r="O11"/>
  <c r="N11"/>
  <c r="S33" i="168"/>
  <c r="M33"/>
  <c r="K33"/>
  <c r="Q32"/>
  <c r="P32"/>
  <c r="N32"/>
  <c r="R32" s="1"/>
  <c r="Q31"/>
  <c r="P31"/>
  <c r="O31"/>
  <c r="N31"/>
  <c r="R31" s="1"/>
  <c r="N30"/>
  <c r="R30" s="1"/>
  <c r="N29"/>
  <c r="Q29" s="1"/>
  <c r="Q28"/>
  <c r="P28"/>
  <c r="N28"/>
  <c r="R28" s="1"/>
  <c r="P27"/>
  <c r="O27"/>
  <c r="N27"/>
  <c r="Q27" s="1"/>
  <c r="N26"/>
  <c r="R26" s="1"/>
  <c r="N25"/>
  <c r="Q25" s="1"/>
  <c r="Q24"/>
  <c r="P24"/>
  <c r="N24"/>
  <c r="R24" s="1"/>
  <c r="P23"/>
  <c r="O23"/>
  <c r="N23"/>
  <c r="Q23" s="1"/>
  <c r="N22"/>
  <c r="R22" s="1"/>
  <c r="Q21"/>
  <c r="N21"/>
  <c r="R21" s="1"/>
  <c r="Q20"/>
  <c r="P20"/>
  <c r="N20"/>
  <c r="R20" s="1"/>
  <c r="P19"/>
  <c r="O19"/>
  <c r="N19"/>
  <c r="Q19" s="1"/>
  <c r="O18"/>
  <c r="N18"/>
  <c r="N17"/>
  <c r="R17" s="1"/>
  <c r="Q16"/>
  <c r="P16"/>
  <c r="N16"/>
  <c r="R16" s="1"/>
  <c r="P15"/>
  <c r="O15"/>
  <c r="N15"/>
  <c r="Q15" s="1"/>
  <c r="O14"/>
  <c r="N14"/>
  <c r="R14" s="1"/>
  <c r="N13"/>
  <c r="R13" s="1"/>
  <c r="Q12"/>
  <c r="P12"/>
  <c r="O12"/>
  <c r="N12"/>
  <c r="R12" s="1"/>
  <c r="P11"/>
  <c r="O11"/>
  <c r="N11"/>
  <c r="Q11" s="1"/>
  <c r="S33" i="167"/>
  <c r="M33"/>
  <c r="K33"/>
  <c r="N32"/>
  <c r="Q31"/>
  <c r="P31"/>
  <c r="N31"/>
  <c r="O31" s="1"/>
  <c r="P30"/>
  <c r="O30"/>
  <c r="N30"/>
  <c r="R30" s="1"/>
  <c r="N29"/>
  <c r="Q29" s="1"/>
  <c r="N28"/>
  <c r="Q27"/>
  <c r="P27"/>
  <c r="N27"/>
  <c r="O27" s="1"/>
  <c r="P26"/>
  <c r="O26"/>
  <c r="N26"/>
  <c r="R26" s="1"/>
  <c r="N25"/>
  <c r="Q25" s="1"/>
  <c r="N24"/>
  <c r="Q23"/>
  <c r="P23"/>
  <c r="O23"/>
  <c r="T23" s="1"/>
  <c r="U23" s="1"/>
  <c r="N23"/>
  <c r="R23" s="1"/>
  <c r="P22"/>
  <c r="O22"/>
  <c r="N22"/>
  <c r="R22" s="1"/>
  <c r="N21"/>
  <c r="Q21" s="1"/>
  <c r="N20"/>
  <c r="Q19"/>
  <c r="P19"/>
  <c r="N19"/>
  <c r="O19" s="1"/>
  <c r="P18"/>
  <c r="O18"/>
  <c r="N18"/>
  <c r="R18" s="1"/>
  <c r="N17"/>
  <c r="Q17" s="1"/>
  <c r="N16"/>
  <c r="Q15"/>
  <c r="P15"/>
  <c r="N15"/>
  <c r="O15" s="1"/>
  <c r="P14"/>
  <c r="O14"/>
  <c r="N14"/>
  <c r="R14" s="1"/>
  <c r="O13"/>
  <c r="N13"/>
  <c r="Q13" s="1"/>
  <c r="N12"/>
  <c r="Q11"/>
  <c r="P11"/>
  <c r="N11"/>
  <c r="O11" s="1"/>
  <c r="S33" i="166"/>
  <c r="M33"/>
  <c r="K33"/>
  <c r="Q32"/>
  <c r="P32"/>
  <c r="O32"/>
  <c r="N32"/>
  <c r="R32" s="1"/>
  <c r="P31"/>
  <c r="O31"/>
  <c r="N31"/>
  <c r="Q31" s="1"/>
  <c r="N30"/>
  <c r="R30" s="1"/>
  <c r="Q29"/>
  <c r="N29"/>
  <c r="R29" s="1"/>
  <c r="Q28"/>
  <c r="P28"/>
  <c r="O28"/>
  <c r="N28"/>
  <c r="R28" s="1"/>
  <c r="P27"/>
  <c r="O27"/>
  <c r="N27"/>
  <c r="Q27" s="1"/>
  <c r="N26"/>
  <c r="R26" s="1"/>
  <c r="Q25"/>
  <c r="N25"/>
  <c r="R25" s="1"/>
  <c r="Q24"/>
  <c r="P24"/>
  <c r="O24"/>
  <c r="N24"/>
  <c r="R24" s="1"/>
  <c r="P23"/>
  <c r="O23"/>
  <c r="N23"/>
  <c r="Q23" s="1"/>
  <c r="N22"/>
  <c r="R22" s="1"/>
  <c r="Q21"/>
  <c r="N21"/>
  <c r="R21" s="1"/>
  <c r="Q20"/>
  <c r="P20"/>
  <c r="O20"/>
  <c r="N20"/>
  <c r="R20" s="1"/>
  <c r="P19"/>
  <c r="O19"/>
  <c r="N19"/>
  <c r="Q19" s="1"/>
  <c r="N18"/>
  <c r="R18" s="1"/>
  <c r="Q17"/>
  <c r="N17"/>
  <c r="R17" s="1"/>
  <c r="Q16"/>
  <c r="P16"/>
  <c r="O16"/>
  <c r="N16"/>
  <c r="R16" s="1"/>
  <c r="P15"/>
  <c r="O15"/>
  <c r="N15"/>
  <c r="Q15" s="1"/>
  <c r="N14"/>
  <c r="O14" s="1"/>
  <c r="N13"/>
  <c r="R13" s="1"/>
  <c r="Q12"/>
  <c r="P12"/>
  <c r="O12"/>
  <c r="N12"/>
  <c r="R12" s="1"/>
  <c r="P11"/>
  <c r="O11"/>
  <c r="N11"/>
  <c r="Q11" s="1"/>
  <c r="Q32" i="176" l="1"/>
  <c r="P32"/>
  <c r="Q30"/>
  <c r="Q26"/>
  <c r="O26"/>
  <c r="Q24"/>
  <c r="Q22"/>
  <c r="Q20"/>
  <c r="Q12"/>
  <c r="Q14"/>
  <c r="Q16"/>
  <c r="Q18"/>
  <c r="O14"/>
  <c r="O18"/>
  <c r="V33" i="175"/>
  <c r="V11"/>
  <c r="V13"/>
  <c r="V15"/>
  <c r="V17"/>
  <c r="V19"/>
  <c r="V21"/>
  <c r="V23"/>
  <c r="V25"/>
  <c r="V27"/>
  <c r="V29"/>
  <c r="V31"/>
  <c r="T11"/>
  <c r="T15"/>
  <c r="T19"/>
  <c r="T23"/>
  <c r="T27"/>
  <c r="T31"/>
  <c r="Q11" i="176"/>
  <c r="R12"/>
  <c r="O13"/>
  <c r="P14"/>
  <c r="Q15"/>
  <c r="R16"/>
  <c r="O17"/>
  <c r="P18"/>
  <c r="Q19"/>
  <c r="R20"/>
  <c r="O21"/>
  <c r="P22"/>
  <c r="T22" s="1"/>
  <c r="U22" s="1"/>
  <c r="Q23"/>
  <c r="R24"/>
  <c r="T24" s="1"/>
  <c r="U24" s="1"/>
  <c r="O25"/>
  <c r="P26"/>
  <c r="Q27"/>
  <c r="R28"/>
  <c r="O29"/>
  <c r="P30"/>
  <c r="T30" s="1"/>
  <c r="U30" s="1"/>
  <c r="Q31"/>
  <c r="R32"/>
  <c r="T32" s="1"/>
  <c r="U32" s="1"/>
  <c r="O33"/>
  <c r="N34"/>
  <c r="P11"/>
  <c r="R13"/>
  <c r="P15"/>
  <c r="R17"/>
  <c r="P19"/>
  <c r="R21"/>
  <c r="P23"/>
  <c r="R25"/>
  <c r="P27"/>
  <c r="R29"/>
  <c r="P31"/>
  <c r="R33"/>
  <c r="O11"/>
  <c r="P12"/>
  <c r="Q13"/>
  <c r="O15"/>
  <c r="P16"/>
  <c r="T16" s="1"/>
  <c r="U16" s="1"/>
  <c r="Q17"/>
  <c r="O19"/>
  <c r="P20"/>
  <c r="T20" s="1"/>
  <c r="U20" s="1"/>
  <c r="Q21"/>
  <c r="O23"/>
  <c r="P24"/>
  <c r="Q25"/>
  <c r="O27"/>
  <c r="T27" s="1"/>
  <c r="U27" s="1"/>
  <c r="P28"/>
  <c r="T28" s="1"/>
  <c r="U28" s="1"/>
  <c r="Q29"/>
  <c r="O31"/>
  <c r="T31" s="1"/>
  <c r="U31" s="1"/>
  <c r="Q33"/>
  <c r="P13"/>
  <c r="P17"/>
  <c r="P21"/>
  <c r="P25"/>
  <c r="P29"/>
  <c r="P33"/>
  <c r="W12" i="175"/>
  <c r="U14"/>
  <c r="W16"/>
  <c r="U18"/>
  <c r="W20"/>
  <c r="U22"/>
  <c r="W24"/>
  <c r="U26"/>
  <c r="W28"/>
  <c r="U30"/>
  <c r="W32"/>
  <c r="S34"/>
  <c r="U11"/>
  <c r="Y11" s="1"/>
  <c r="V12"/>
  <c r="W13"/>
  <c r="T14"/>
  <c r="U15"/>
  <c r="V16"/>
  <c r="W17"/>
  <c r="T18"/>
  <c r="U19"/>
  <c r="V20"/>
  <c r="W21"/>
  <c r="T22"/>
  <c r="U23"/>
  <c r="V24"/>
  <c r="W25"/>
  <c r="T26"/>
  <c r="U27"/>
  <c r="Y27" s="1"/>
  <c r="Z27" s="1"/>
  <c r="V28"/>
  <c r="W29"/>
  <c r="T30"/>
  <c r="U31"/>
  <c r="V32"/>
  <c r="W33"/>
  <c r="U12"/>
  <c r="W14"/>
  <c r="U16"/>
  <c r="W18"/>
  <c r="U20"/>
  <c r="W22"/>
  <c r="U24"/>
  <c r="W26"/>
  <c r="U28"/>
  <c r="W30"/>
  <c r="U13"/>
  <c r="U17"/>
  <c r="Y17" s="1"/>
  <c r="Z17" s="1"/>
  <c r="U21"/>
  <c r="U25"/>
  <c r="U29"/>
  <c r="U33"/>
  <c r="Y33" s="1"/>
  <c r="Z33" s="1"/>
  <c r="T12" i="174"/>
  <c r="U12" s="1"/>
  <c r="T24"/>
  <c r="U24" s="1"/>
  <c r="Q11"/>
  <c r="O13"/>
  <c r="P14"/>
  <c r="T14" s="1"/>
  <c r="U14" s="1"/>
  <c r="Q15"/>
  <c r="O17"/>
  <c r="P18"/>
  <c r="T18" s="1"/>
  <c r="U18" s="1"/>
  <c r="Q19"/>
  <c r="O21"/>
  <c r="P22"/>
  <c r="T22" s="1"/>
  <c r="U22" s="1"/>
  <c r="Q23"/>
  <c r="O25"/>
  <c r="P26"/>
  <c r="T26" s="1"/>
  <c r="U26" s="1"/>
  <c r="Q27"/>
  <c r="O29"/>
  <c r="P30"/>
  <c r="T30" s="1"/>
  <c r="U30" s="1"/>
  <c r="Q31"/>
  <c r="O33"/>
  <c r="N34"/>
  <c r="P11"/>
  <c r="R13"/>
  <c r="R34" s="1"/>
  <c r="P15"/>
  <c r="R17"/>
  <c r="P19"/>
  <c r="R21"/>
  <c r="P23"/>
  <c r="R25"/>
  <c r="R29"/>
  <c r="P31"/>
  <c r="R33"/>
  <c r="O11"/>
  <c r="Q13"/>
  <c r="O15"/>
  <c r="T15" s="1"/>
  <c r="U15" s="1"/>
  <c r="Q17"/>
  <c r="O19"/>
  <c r="T19" s="1"/>
  <c r="U19" s="1"/>
  <c r="Q21"/>
  <c r="O23"/>
  <c r="Q25"/>
  <c r="O27"/>
  <c r="T27" s="1"/>
  <c r="U27" s="1"/>
  <c r="Q29"/>
  <c r="O31"/>
  <c r="Q33"/>
  <c r="P13"/>
  <c r="P17"/>
  <c r="P21"/>
  <c r="P25"/>
  <c r="P29"/>
  <c r="P33"/>
  <c r="T15" i="173"/>
  <c r="U15" s="1"/>
  <c r="T23"/>
  <c r="U23" s="1"/>
  <c r="T31"/>
  <c r="U31" s="1"/>
  <c r="T19"/>
  <c r="U19" s="1"/>
  <c r="T27"/>
  <c r="U27" s="1"/>
  <c r="R12"/>
  <c r="R34" s="1"/>
  <c r="O13"/>
  <c r="O34" s="1"/>
  <c r="R16"/>
  <c r="O17"/>
  <c r="R20"/>
  <c r="O21"/>
  <c r="R24"/>
  <c r="O25"/>
  <c r="R28"/>
  <c r="O29"/>
  <c r="R32"/>
  <c r="O33"/>
  <c r="N34"/>
  <c r="R13"/>
  <c r="R17"/>
  <c r="R21"/>
  <c r="R25"/>
  <c r="R29"/>
  <c r="R33"/>
  <c r="P12"/>
  <c r="P34" s="1"/>
  <c r="Q13"/>
  <c r="Q34" s="1"/>
  <c r="R14"/>
  <c r="T14" s="1"/>
  <c r="U14" s="1"/>
  <c r="Q17"/>
  <c r="Q25"/>
  <c r="T11"/>
  <c r="P16"/>
  <c r="T16" s="1"/>
  <c r="U16" s="1"/>
  <c r="R18"/>
  <c r="T18" s="1"/>
  <c r="U18" s="1"/>
  <c r="P20"/>
  <c r="T20" s="1"/>
  <c r="U20" s="1"/>
  <c r="Q21"/>
  <c r="R22"/>
  <c r="T22" s="1"/>
  <c r="U22" s="1"/>
  <c r="P24"/>
  <c r="T24" s="1"/>
  <c r="U24" s="1"/>
  <c r="R26"/>
  <c r="T26" s="1"/>
  <c r="U26" s="1"/>
  <c r="P28"/>
  <c r="T28" s="1"/>
  <c r="U28" s="1"/>
  <c r="Q29"/>
  <c r="R30"/>
  <c r="T30" s="1"/>
  <c r="U30" s="1"/>
  <c r="P32"/>
  <c r="T32" s="1"/>
  <c r="U32" s="1"/>
  <c r="Q33"/>
  <c r="P13"/>
  <c r="P17"/>
  <c r="P21"/>
  <c r="P25"/>
  <c r="P29"/>
  <c r="P33"/>
  <c r="P13" i="172"/>
  <c r="O21"/>
  <c r="Q14"/>
  <c r="O14"/>
  <c r="T14" s="1"/>
  <c r="U14" s="1"/>
  <c r="P14"/>
  <c r="P21"/>
  <c r="P27"/>
  <c r="P23"/>
  <c r="P18"/>
  <c r="O26"/>
  <c r="O13"/>
  <c r="O18"/>
  <c r="Q22"/>
  <c r="O27"/>
  <c r="O23"/>
  <c r="P22"/>
  <c r="P30"/>
  <c r="R23"/>
  <c r="O17"/>
  <c r="Q18"/>
  <c r="O22"/>
  <c r="P26"/>
  <c r="Q27"/>
  <c r="O30"/>
  <c r="Q31"/>
  <c r="P31"/>
  <c r="O31"/>
  <c r="P17"/>
  <c r="R11"/>
  <c r="R15"/>
  <c r="R19"/>
  <c r="R24"/>
  <c r="R28"/>
  <c r="R32"/>
  <c r="N34"/>
  <c r="Q11"/>
  <c r="R12"/>
  <c r="Q15"/>
  <c r="R16"/>
  <c r="Q19"/>
  <c r="R20"/>
  <c r="Q24"/>
  <c r="R25"/>
  <c r="Q28"/>
  <c r="R29"/>
  <c r="Q32"/>
  <c r="R33"/>
  <c r="P11"/>
  <c r="Q12"/>
  <c r="R13"/>
  <c r="P15"/>
  <c r="Q16"/>
  <c r="R17"/>
  <c r="P19"/>
  <c r="Q20"/>
  <c r="R21"/>
  <c r="P24"/>
  <c r="Q25"/>
  <c r="R26"/>
  <c r="P28"/>
  <c r="Q29"/>
  <c r="R30"/>
  <c r="P32"/>
  <c r="Q33"/>
  <c r="P12"/>
  <c r="T12" s="1"/>
  <c r="U12" s="1"/>
  <c r="P16"/>
  <c r="P20"/>
  <c r="P25"/>
  <c r="P29"/>
  <c r="T29" s="1"/>
  <c r="U29" s="1"/>
  <c r="P33"/>
  <c r="O11" i="171"/>
  <c r="N12"/>
  <c r="R11"/>
  <c r="Q11"/>
  <c r="Q12" s="1"/>
  <c r="P11"/>
  <c r="Q29" i="170"/>
  <c r="O29"/>
  <c r="Q27"/>
  <c r="Q25"/>
  <c r="O25"/>
  <c r="T25" s="1"/>
  <c r="U25" s="1"/>
  <c r="Q21"/>
  <c r="O21"/>
  <c r="Q17"/>
  <c r="O17"/>
  <c r="Q13"/>
  <c r="O13"/>
  <c r="R11"/>
  <c r="O12"/>
  <c r="P13"/>
  <c r="T13" s="1"/>
  <c r="U13" s="1"/>
  <c r="Q14"/>
  <c r="R15"/>
  <c r="O16"/>
  <c r="P17"/>
  <c r="T17" s="1"/>
  <c r="U17" s="1"/>
  <c r="Q18"/>
  <c r="R19"/>
  <c r="O20"/>
  <c r="P21"/>
  <c r="T21" s="1"/>
  <c r="U21" s="1"/>
  <c r="Q22"/>
  <c r="R23"/>
  <c r="O24"/>
  <c r="T24" s="1"/>
  <c r="U24" s="1"/>
  <c r="P25"/>
  <c r="Q26"/>
  <c r="R27"/>
  <c r="O28"/>
  <c r="P29"/>
  <c r="T29" s="1"/>
  <c r="U29" s="1"/>
  <c r="Q30"/>
  <c r="O32"/>
  <c r="N33"/>
  <c r="P14"/>
  <c r="R16"/>
  <c r="R20"/>
  <c r="P22"/>
  <c r="R24"/>
  <c r="P26"/>
  <c r="R28"/>
  <c r="P30"/>
  <c r="R32"/>
  <c r="R12"/>
  <c r="P18"/>
  <c r="P11"/>
  <c r="T11" s="1"/>
  <c r="Q12"/>
  <c r="O14"/>
  <c r="P15"/>
  <c r="T15" s="1"/>
  <c r="U15" s="1"/>
  <c r="Q16"/>
  <c r="O18"/>
  <c r="T18" s="1"/>
  <c r="U18" s="1"/>
  <c r="P19"/>
  <c r="T19" s="1"/>
  <c r="U19" s="1"/>
  <c r="Q20"/>
  <c r="O22"/>
  <c r="T22" s="1"/>
  <c r="U22" s="1"/>
  <c r="P23"/>
  <c r="T23" s="1"/>
  <c r="U23" s="1"/>
  <c r="Q24"/>
  <c r="O26"/>
  <c r="P27"/>
  <c r="Q28"/>
  <c r="O30"/>
  <c r="Q32"/>
  <c r="P16"/>
  <c r="P20"/>
  <c r="P24"/>
  <c r="P28"/>
  <c r="P32"/>
  <c r="T17" i="169"/>
  <c r="T25"/>
  <c r="T31"/>
  <c r="U31" s="1"/>
  <c r="P20"/>
  <c r="R11"/>
  <c r="O12"/>
  <c r="O33" s="1"/>
  <c r="P13"/>
  <c r="T13" s="1"/>
  <c r="U13" s="1"/>
  <c r="Q14"/>
  <c r="R15"/>
  <c r="O16"/>
  <c r="P17"/>
  <c r="U17"/>
  <c r="Q18"/>
  <c r="R19"/>
  <c r="O20"/>
  <c r="P21"/>
  <c r="T21" s="1"/>
  <c r="U21" s="1"/>
  <c r="Q22"/>
  <c r="R23"/>
  <c r="O24"/>
  <c r="P25"/>
  <c r="U25"/>
  <c r="Q26"/>
  <c r="R27"/>
  <c r="T27" s="1"/>
  <c r="U27" s="1"/>
  <c r="O28"/>
  <c r="P29"/>
  <c r="T29" s="1"/>
  <c r="U29" s="1"/>
  <c r="Q30"/>
  <c r="O32"/>
  <c r="N33"/>
  <c r="R12"/>
  <c r="P18"/>
  <c r="R20"/>
  <c r="P22"/>
  <c r="R24"/>
  <c r="P26"/>
  <c r="R28"/>
  <c r="P30"/>
  <c r="R32"/>
  <c r="P14"/>
  <c r="R16"/>
  <c r="P11"/>
  <c r="Q12"/>
  <c r="Q33" s="1"/>
  <c r="O14"/>
  <c r="P15"/>
  <c r="T15" s="1"/>
  <c r="U15" s="1"/>
  <c r="Q16"/>
  <c r="O18"/>
  <c r="T18" s="1"/>
  <c r="U18" s="1"/>
  <c r="P19"/>
  <c r="T19" s="1"/>
  <c r="U19" s="1"/>
  <c r="Q20"/>
  <c r="O22"/>
  <c r="P23"/>
  <c r="T23" s="1"/>
  <c r="U23" s="1"/>
  <c r="Q24"/>
  <c r="O26"/>
  <c r="T26" s="1"/>
  <c r="U26" s="1"/>
  <c r="Q28"/>
  <c r="O30"/>
  <c r="T30" s="1"/>
  <c r="U30" s="1"/>
  <c r="Q32"/>
  <c r="P24"/>
  <c r="P28"/>
  <c r="P32"/>
  <c r="T27" i="168"/>
  <c r="U27" s="1"/>
  <c r="T31"/>
  <c r="U31" s="1"/>
  <c r="T12"/>
  <c r="U12" s="1"/>
  <c r="Q17"/>
  <c r="R11"/>
  <c r="P13"/>
  <c r="P33" s="1"/>
  <c r="Q14"/>
  <c r="R15"/>
  <c r="T15" s="1"/>
  <c r="U15" s="1"/>
  <c r="O16"/>
  <c r="T16" s="1"/>
  <c r="U16" s="1"/>
  <c r="P17"/>
  <c r="Q18"/>
  <c r="R19"/>
  <c r="T19" s="1"/>
  <c r="U19" s="1"/>
  <c r="O20"/>
  <c r="T20" s="1"/>
  <c r="U20" s="1"/>
  <c r="P21"/>
  <c r="Q22"/>
  <c r="R23"/>
  <c r="T23" s="1"/>
  <c r="U23" s="1"/>
  <c r="O24"/>
  <c r="T24" s="1"/>
  <c r="U24" s="1"/>
  <c r="P25"/>
  <c r="Q26"/>
  <c r="R27"/>
  <c r="O28"/>
  <c r="T28" s="1"/>
  <c r="U28" s="1"/>
  <c r="P29"/>
  <c r="Q30"/>
  <c r="O32"/>
  <c r="T32" s="1"/>
  <c r="U32" s="1"/>
  <c r="N33"/>
  <c r="T11"/>
  <c r="Q13"/>
  <c r="Q33" s="1"/>
  <c r="R18"/>
  <c r="O13"/>
  <c r="T13" s="1"/>
  <c r="U13" s="1"/>
  <c r="P14"/>
  <c r="T14" s="1"/>
  <c r="U14" s="1"/>
  <c r="O17"/>
  <c r="P18"/>
  <c r="T18" s="1"/>
  <c r="U18" s="1"/>
  <c r="O21"/>
  <c r="T21" s="1"/>
  <c r="U21" s="1"/>
  <c r="P22"/>
  <c r="O25"/>
  <c r="T25" s="1"/>
  <c r="U25" s="1"/>
  <c r="P26"/>
  <c r="O29"/>
  <c r="P30"/>
  <c r="O22"/>
  <c r="R25"/>
  <c r="O26"/>
  <c r="T26" s="1"/>
  <c r="U26" s="1"/>
  <c r="R29"/>
  <c r="O30"/>
  <c r="T27" i="167"/>
  <c r="U27" s="1"/>
  <c r="T19"/>
  <c r="U19" s="1"/>
  <c r="R11"/>
  <c r="O12"/>
  <c r="P13"/>
  <c r="T13" s="1"/>
  <c r="U13" s="1"/>
  <c r="Q14"/>
  <c r="T14" s="1"/>
  <c r="U14" s="1"/>
  <c r="R15"/>
  <c r="T15" s="1"/>
  <c r="U15" s="1"/>
  <c r="O16"/>
  <c r="P17"/>
  <c r="Q18"/>
  <c r="T18" s="1"/>
  <c r="U18" s="1"/>
  <c r="R19"/>
  <c r="O20"/>
  <c r="P21"/>
  <c r="Q22"/>
  <c r="T22" s="1"/>
  <c r="U22" s="1"/>
  <c r="O24"/>
  <c r="P25"/>
  <c r="Q26"/>
  <c r="T26" s="1"/>
  <c r="U26" s="1"/>
  <c r="R27"/>
  <c r="O28"/>
  <c r="P29"/>
  <c r="Q30"/>
  <c r="T30" s="1"/>
  <c r="U30" s="1"/>
  <c r="R31"/>
  <c r="T31" s="1"/>
  <c r="U31" s="1"/>
  <c r="O32"/>
  <c r="N33"/>
  <c r="R12"/>
  <c r="R16"/>
  <c r="O17"/>
  <c r="R20"/>
  <c r="O21"/>
  <c r="R24"/>
  <c r="O25"/>
  <c r="R28"/>
  <c r="O29"/>
  <c r="R32"/>
  <c r="Q12"/>
  <c r="R13"/>
  <c r="Q16"/>
  <c r="R17"/>
  <c r="Q20"/>
  <c r="R21"/>
  <c r="Q24"/>
  <c r="R25"/>
  <c r="Q28"/>
  <c r="R29"/>
  <c r="Q32"/>
  <c r="P12"/>
  <c r="P33" s="1"/>
  <c r="P16"/>
  <c r="P20"/>
  <c r="P24"/>
  <c r="P28"/>
  <c r="P32"/>
  <c r="T23" i="166"/>
  <c r="U23" s="1"/>
  <c r="T31"/>
  <c r="U31" s="1"/>
  <c r="T16"/>
  <c r="U16" s="1"/>
  <c r="T24"/>
  <c r="U24" s="1"/>
  <c r="T32"/>
  <c r="U32" s="1"/>
  <c r="T12"/>
  <c r="U12" s="1"/>
  <c r="T19"/>
  <c r="U19" s="1"/>
  <c r="T20"/>
  <c r="U20" s="1"/>
  <c r="T28"/>
  <c r="U28" s="1"/>
  <c r="T11"/>
  <c r="Q13"/>
  <c r="Q33" s="1"/>
  <c r="P13"/>
  <c r="P33" s="1"/>
  <c r="Q14"/>
  <c r="T14" s="1"/>
  <c r="U14" s="1"/>
  <c r="R15"/>
  <c r="T15" s="1"/>
  <c r="U15" s="1"/>
  <c r="P17"/>
  <c r="R19"/>
  <c r="P21"/>
  <c r="Q22"/>
  <c r="R23"/>
  <c r="P25"/>
  <c r="Q26"/>
  <c r="R27"/>
  <c r="T27" s="1"/>
  <c r="U27" s="1"/>
  <c r="P29"/>
  <c r="Q30"/>
  <c r="R31"/>
  <c r="N33"/>
  <c r="R14"/>
  <c r="R11"/>
  <c r="U17"/>
  <c r="Q18"/>
  <c r="O13"/>
  <c r="T13" s="1"/>
  <c r="U13" s="1"/>
  <c r="P14"/>
  <c r="O17"/>
  <c r="T17" s="1"/>
  <c r="P18"/>
  <c r="O21"/>
  <c r="T21" s="1"/>
  <c r="U21" s="1"/>
  <c r="P22"/>
  <c r="O25"/>
  <c r="P26"/>
  <c r="O29"/>
  <c r="P30"/>
  <c r="O18"/>
  <c r="T18" s="1"/>
  <c r="U18" s="1"/>
  <c r="O22"/>
  <c r="O26"/>
  <c r="O30"/>
  <c r="T30" s="1"/>
  <c r="U30" s="1"/>
  <c r="S33" i="165"/>
  <c r="M33"/>
  <c r="K33"/>
  <c r="P32"/>
  <c r="N32"/>
  <c r="O32" s="1"/>
  <c r="O31"/>
  <c r="N31"/>
  <c r="R31" s="1"/>
  <c r="N30"/>
  <c r="Q30" s="1"/>
  <c r="Q29"/>
  <c r="P29"/>
  <c r="O29"/>
  <c r="N29"/>
  <c r="P28"/>
  <c r="N28"/>
  <c r="O28" s="1"/>
  <c r="O27"/>
  <c r="N27"/>
  <c r="R27" s="1"/>
  <c r="N26"/>
  <c r="Q26" s="1"/>
  <c r="Q25"/>
  <c r="N25"/>
  <c r="N24"/>
  <c r="O24" s="1"/>
  <c r="Q23"/>
  <c r="O23"/>
  <c r="N23"/>
  <c r="R23" s="1"/>
  <c r="N22"/>
  <c r="Q22" s="1"/>
  <c r="Q21"/>
  <c r="O21"/>
  <c r="N21"/>
  <c r="P20"/>
  <c r="N20"/>
  <c r="O20" s="1"/>
  <c r="Q19"/>
  <c r="O19"/>
  <c r="N19"/>
  <c r="R19" s="1"/>
  <c r="N18"/>
  <c r="Q18" s="1"/>
  <c r="Q17"/>
  <c r="O17"/>
  <c r="N17"/>
  <c r="P16"/>
  <c r="N16"/>
  <c r="O16" s="1"/>
  <c r="Q15"/>
  <c r="P15"/>
  <c r="O15"/>
  <c r="N15"/>
  <c r="R15" s="1"/>
  <c r="N14"/>
  <c r="Q14" s="1"/>
  <c r="Q13"/>
  <c r="O13"/>
  <c r="N13"/>
  <c r="P12"/>
  <c r="N12"/>
  <c r="O12" s="1"/>
  <c r="Q11"/>
  <c r="P11"/>
  <c r="O11"/>
  <c r="N11"/>
  <c r="N33" s="1"/>
  <c r="S33" i="164"/>
  <c r="M33"/>
  <c r="K33"/>
  <c r="P32"/>
  <c r="N32"/>
  <c r="O32" s="1"/>
  <c r="Q31"/>
  <c r="O31"/>
  <c r="N31"/>
  <c r="R31" s="1"/>
  <c r="N30"/>
  <c r="Q30" s="1"/>
  <c r="Q29"/>
  <c r="P29"/>
  <c r="O29"/>
  <c r="N29"/>
  <c r="R29" s="1"/>
  <c r="P28"/>
  <c r="N28"/>
  <c r="O28" s="1"/>
  <c r="Q27"/>
  <c r="O27"/>
  <c r="N27"/>
  <c r="R27" s="1"/>
  <c r="N26"/>
  <c r="Q26" s="1"/>
  <c r="Q25"/>
  <c r="P25"/>
  <c r="O25"/>
  <c r="N25"/>
  <c r="R25" s="1"/>
  <c r="P24"/>
  <c r="N24"/>
  <c r="O24" s="1"/>
  <c r="Q23"/>
  <c r="O23"/>
  <c r="N23"/>
  <c r="R23" s="1"/>
  <c r="N22"/>
  <c r="Q22" s="1"/>
  <c r="Q21"/>
  <c r="P21"/>
  <c r="O21"/>
  <c r="T21" s="1"/>
  <c r="U21" s="1"/>
  <c r="N21"/>
  <c r="R21" s="1"/>
  <c r="P20"/>
  <c r="N20"/>
  <c r="O20" s="1"/>
  <c r="Q19"/>
  <c r="O19"/>
  <c r="N19"/>
  <c r="R19" s="1"/>
  <c r="N18"/>
  <c r="Q18" s="1"/>
  <c r="Q17"/>
  <c r="P17"/>
  <c r="O17"/>
  <c r="N17"/>
  <c r="R17" s="1"/>
  <c r="P16"/>
  <c r="N16"/>
  <c r="O16" s="1"/>
  <c r="Q15"/>
  <c r="O15"/>
  <c r="N15"/>
  <c r="R15" s="1"/>
  <c r="N14"/>
  <c r="Q14" s="1"/>
  <c r="Q13"/>
  <c r="P13"/>
  <c r="O13"/>
  <c r="T13" s="1"/>
  <c r="U13" s="1"/>
  <c r="N13"/>
  <c r="R13" s="1"/>
  <c r="P12"/>
  <c r="N12"/>
  <c r="O12" s="1"/>
  <c r="Q11"/>
  <c r="O11"/>
  <c r="N11"/>
  <c r="N33" s="1"/>
  <c r="U18" i="163"/>
  <c r="T18"/>
  <c r="R18"/>
  <c r="Q18"/>
  <c r="P18"/>
  <c r="O18"/>
  <c r="N18"/>
  <c r="S33"/>
  <c r="M33"/>
  <c r="K33"/>
  <c r="Q32"/>
  <c r="N32"/>
  <c r="O32" s="1"/>
  <c r="P31"/>
  <c r="O31"/>
  <c r="N31"/>
  <c r="R31" s="1"/>
  <c r="N30"/>
  <c r="Q29"/>
  <c r="N29"/>
  <c r="N28"/>
  <c r="O28" s="1"/>
  <c r="N27"/>
  <c r="R27" s="1"/>
  <c r="N26"/>
  <c r="N25"/>
  <c r="Q25" s="1"/>
  <c r="Q24"/>
  <c r="N24"/>
  <c r="O24" s="1"/>
  <c r="P23"/>
  <c r="N23"/>
  <c r="R23" s="1"/>
  <c r="N22"/>
  <c r="R22" s="1"/>
  <c r="N21"/>
  <c r="Q21" s="1"/>
  <c r="N20"/>
  <c r="O20" s="1"/>
  <c r="Q19"/>
  <c r="O19"/>
  <c r="N19"/>
  <c r="R19" s="1"/>
  <c r="N17"/>
  <c r="N16"/>
  <c r="Q16" s="1"/>
  <c r="Q15"/>
  <c r="P15"/>
  <c r="N15"/>
  <c r="O15" s="1"/>
  <c r="Q14"/>
  <c r="P14"/>
  <c r="O14"/>
  <c r="N14"/>
  <c r="R14" s="1"/>
  <c r="N13"/>
  <c r="N12"/>
  <c r="Q12" s="1"/>
  <c r="P11"/>
  <c r="N11"/>
  <c r="Q11" s="1"/>
  <c r="R30" i="162"/>
  <c r="R31"/>
  <c r="U31" s="1"/>
  <c r="Q32"/>
  <c r="L32"/>
  <c r="R27"/>
  <c r="S27" s="1"/>
  <c r="O28"/>
  <c r="O29"/>
  <c r="N28"/>
  <c r="R28" s="1"/>
  <c r="U28" s="1"/>
  <c r="N29"/>
  <c r="R29" s="1"/>
  <c r="U29" s="1"/>
  <c r="M28"/>
  <c r="M29"/>
  <c r="O26"/>
  <c r="R26" s="1"/>
  <c r="S26" s="1"/>
  <c r="N26"/>
  <c r="M26"/>
  <c r="O25"/>
  <c r="R25" s="1"/>
  <c r="N25"/>
  <c r="M25"/>
  <c r="R24"/>
  <c r="U24" s="1"/>
  <c r="R23"/>
  <c r="U23" s="1"/>
  <c r="R21"/>
  <c r="S21" s="1"/>
  <c r="O22"/>
  <c r="N22"/>
  <c r="R22" s="1"/>
  <c r="S22" s="1"/>
  <c r="M22"/>
  <c r="O20"/>
  <c r="N20"/>
  <c r="R20" s="1"/>
  <c r="U20" s="1"/>
  <c r="M20"/>
  <c r="R19"/>
  <c r="R17"/>
  <c r="U17" s="1"/>
  <c r="R18"/>
  <c r="O16"/>
  <c r="N16"/>
  <c r="M16"/>
  <c r="R16" s="1"/>
  <c r="U16" s="1"/>
  <c r="O15"/>
  <c r="N15"/>
  <c r="M15"/>
  <c r="R15" s="1"/>
  <c r="S15" s="1"/>
  <c r="O14"/>
  <c r="N14"/>
  <c r="M14"/>
  <c r="R14" s="1"/>
  <c r="S14" s="1"/>
  <c r="O13"/>
  <c r="N13"/>
  <c r="M13"/>
  <c r="R13" s="1"/>
  <c r="O12"/>
  <c r="O32" s="1"/>
  <c r="N12"/>
  <c r="N32" s="1"/>
  <c r="M12"/>
  <c r="R12" s="1"/>
  <c r="U12" s="1"/>
  <c r="R11"/>
  <c r="S11" s="1"/>
  <c r="W32"/>
  <c r="P32"/>
  <c r="K32"/>
  <c r="T30"/>
  <c r="S30"/>
  <c r="U27"/>
  <c r="U21"/>
  <c r="V21"/>
  <c r="U19"/>
  <c r="S19"/>
  <c r="S18"/>
  <c r="S32" i="161"/>
  <c r="M32"/>
  <c r="K32"/>
  <c r="N31"/>
  <c r="N30"/>
  <c r="R30" s="1"/>
  <c r="N29"/>
  <c r="R29" s="1"/>
  <c r="N28"/>
  <c r="R28" s="1"/>
  <c r="N27"/>
  <c r="N26"/>
  <c r="O26" s="1"/>
  <c r="N25"/>
  <c r="R25" s="1"/>
  <c r="N24"/>
  <c r="R24" s="1"/>
  <c r="N23"/>
  <c r="N22"/>
  <c r="O22" s="1"/>
  <c r="N21"/>
  <c r="R21" s="1"/>
  <c r="N20"/>
  <c r="R20" s="1"/>
  <c r="N19"/>
  <c r="N18"/>
  <c r="O18" s="1"/>
  <c r="N17"/>
  <c r="R17" s="1"/>
  <c r="N16"/>
  <c r="R16" s="1"/>
  <c r="N15"/>
  <c r="N14"/>
  <c r="O14" s="1"/>
  <c r="N13"/>
  <c r="R13" s="1"/>
  <c r="N12"/>
  <c r="R12" s="1"/>
  <c r="N11"/>
  <c r="P11" s="1"/>
  <c r="R32" i="159"/>
  <c r="L32"/>
  <c r="K32"/>
  <c r="M31"/>
  <c r="Q31" s="1"/>
  <c r="M30"/>
  <c r="Q30" s="1"/>
  <c r="M29"/>
  <c r="N29" s="1"/>
  <c r="M28"/>
  <c r="Q28" s="1"/>
  <c r="M27"/>
  <c r="P27" s="1"/>
  <c r="M26"/>
  <c r="Q26" s="1"/>
  <c r="M25"/>
  <c r="N25" s="1"/>
  <c r="M24"/>
  <c r="Q24" s="1"/>
  <c r="M23"/>
  <c r="P23" s="1"/>
  <c r="M22"/>
  <c r="Q22" s="1"/>
  <c r="M21"/>
  <c r="N21" s="1"/>
  <c r="M20"/>
  <c r="Q20" s="1"/>
  <c r="M19"/>
  <c r="P19" s="1"/>
  <c r="M18"/>
  <c r="Q18" s="1"/>
  <c r="M17"/>
  <c r="N17" s="1"/>
  <c r="M16"/>
  <c r="Q16" s="1"/>
  <c r="M15"/>
  <c r="P15" s="1"/>
  <c r="M14"/>
  <c r="Q14" s="1"/>
  <c r="M13"/>
  <c r="N13" s="1"/>
  <c r="M12"/>
  <c r="Q12" s="1"/>
  <c r="M11"/>
  <c r="P11" s="1"/>
  <c r="S32" i="158"/>
  <c r="M32"/>
  <c r="K32"/>
  <c r="Q31"/>
  <c r="O31"/>
  <c r="N31"/>
  <c r="N30"/>
  <c r="O30" s="1"/>
  <c r="Q29"/>
  <c r="N29"/>
  <c r="R29" s="1"/>
  <c r="N28"/>
  <c r="Q28" s="1"/>
  <c r="Q27"/>
  <c r="N27"/>
  <c r="O27" s="1"/>
  <c r="N26"/>
  <c r="O26" s="1"/>
  <c r="Q25"/>
  <c r="N25"/>
  <c r="R25" s="1"/>
  <c r="N24"/>
  <c r="Q24" s="1"/>
  <c r="Q23"/>
  <c r="N23"/>
  <c r="O23" s="1"/>
  <c r="N22"/>
  <c r="O22" s="1"/>
  <c r="Q21"/>
  <c r="N21"/>
  <c r="R21" s="1"/>
  <c r="N20"/>
  <c r="Q20" s="1"/>
  <c r="Q19"/>
  <c r="N19"/>
  <c r="O19" s="1"/>
  <c r="N18"/>
  <c r="O18" s="1"/>
  <c r="Q17"/>
  <c r="N17"/>
  <c r="R17" s="1"/>
  <c r="N16"/>
  <c r="Q16" s="1"/>
  <c r="Q15"/>
  <c r="N15"/>
  <c r="O15" s="1"/>
  <c r="N14"/>
  <c r="O14" s="1"/>
  <c r="Q13"/>
  <c r="N13"/>
  <c r="R13" s="1"/>
  <c r="N12"/>
  <c r="Q12" s="1"/>
  <c r="Q11"/>
  <c r="N11"/>
  <c r="O11" s="1"/>
  <c r="Q29" i="157"/>
  <c r="P29"/>
  <c r="O29"/>
  <c r="N29"/>
  <c r="R29" s="1"/>
  <c r="T33" i="176" l="1"/>
  <c r="U33" s="1"/>
  <c r="T26"/>
  <c r="U26" s="1"/>
  <c r="T12"/>
  <c r="U12" s="1"/>
  <c r="T15"/>
  <c r="U15" s="1"/>
  <c r="R34"/>
  <c r="T18"/>
  <c r="U18" s="1"/>
  <c r="T14"/>
  <c r="U14" s="1"/>
  <c r="Y29" i="175"/>
  <c r="Z29" s="1"/>
  <c r="Y13"/>
  <c r="Z13" s="1"/>
  <c r="Y24"/>
  <c r="Z24" s="1"/>
  <c r="Y16"/>
  <c r="Z16" s="1"/>
  <c r="Y32"/>
  <c r="Z32" s="1"/>
  <c r="Y21"/>
  <c r="Z21" s="1"/>
  <c r="Y28"/>
  <c r="Z28" s="1"/>
  <c r="Y20"/>
  <c r="Z20" s="1"/>
  <c r="Y12"/>
  <c r="Z12" s="1"/>
  <c r="Y26"/>
  <c r="Z26" s="1"/>
  <c r="T34"/>
  <c r="Y25"/>
  <c r="Z25" s="1"/>
  <c r="Y31"/>
  <c r="Z31" s="1"/>
  <c r="Y23"/>
  <c r="Z23" s="1"/>
  <c r="Y19"/>
  <c r="Z19" s="1"/>
  <c r="Y15"/>
  <c r="Z15" s="1"/>
  <c r="W34"/>
  <c r="V34"/>
  <c r="T23" i="176"/>
  <c r="U23" s="1"/>
  <c r="T21"/>
  <c r="U21" s="1"/>
  <c r="Q34"/>
  <c r="T19"/>
  <c r="U19" s="1"/>
  <c r="P34"/>
  <c r="T25"/>
  <c r="U25" s="1"/>
  <c r="T29"/>
  <c r="U29" s="1"/>
  <c r="T13"/>
  <c r="U13" s="1"/>
  <c r="O34"/>
  <c r="T11"/>
  <c r="T17"/>
  <c r="U17" s="1"/>
  <c r="Z11" i="175"/>
  <c r="Y18"/>
  <c r="Z18" s="1"/>
  <c r="Y22"/>
  <c r="Z22" s="1"/>
  <c r="Y30"/>
  <c r="Z30" s="1"/>
  <c r="Y14"/>
  <c r="Z14" s="1"/>
  <c r="U34"/>
  <c r="T31" i="174"/>
  <c r="U31" s="1"/>
  <c r="T23"/>
  <c r="U23" s="1"/>
  <c r="P34"/>
  <c r="O34"/>
  <c r="T11"/>
  <c r="Q34"/>
  <c r="T33"/>
  <c r="U33" s="1"/>
  <c r="T29"/>
  <c r="U29" s="1"/>
  <c r="T25"/>
  <c r="U25" s="1"/>
  <c r="T21"/>
  <c r="U21" s="1"/>
  <c r="T17"/>
  <c r="U17" s="1"/>
  <c r="T13"/>
  <c r="U13" s="1"/>
  <c r="T12" i="173"/>
  <c r="U12" s="1"/>
  <c r="T33"/>
  <c r="U33" s="1"/>
  <c r="T25"/>
  <c r="U25" s="1"/>
  <c r="T17"/>
  <c r="U17" s="1"/>
  <c r="U11"/>
  <c r="T29"/>
  <c r="U29" s="1"/>
  <c r="T21"/>
  <c r="U21" s="1"/>
  <c r="T13"/>
  <c r="U13" s="1"/>
  <c r="T32" i="172"/>
  <c r="U32" s="1"/>
  <c r="T26"/>
  <c r="U26" s="1"/>
  <c r="T13"/>
  <c r="U13" s="1"/>
  <c r="T21"/>
  <c r="U21" s="1"/>
  <c r="T33"/>
  <c r="U33" s="1"/>
  <c r="T30"/>
  <c r="U30" s="1"/>
  <c r="T19"/>
  <c r="U19" s="1"/>
  <c r="T22"/>
  <c r="U22" s="1"/>
  <c r="T25"/>
  <c r="U25" s="1"/>
  <c r="T28"/>
  <c r="U28" s="1"/>
  <c r="T11"/>
  <c r="T27"/>
  <c r="U27" s="1"/>
  <c r="T24"/>
  <c r="U24" s="1"/>
  <c r="T17"/>
  <c r="U17" s="1"/>
  <c r="T31"/>
  <c r="U31" s="1"/>
  <c r="T23"/>
  <c r="U23" s="1"/>
  <c r="T18"/>
  <c r="U18" s="1"/>
  <c r="T20"/>
  <c r="U20" s="1"/>
  <c r="O34"/>
  <c r="T16"/>
  <c r="U16" s="1"/>
  <c r="T15"/>
  <c r="U15" s="1"/>
  <c r="P34"/>
  <c r="Q34"/>
  <c r="R34"/>
  <c r="T11" i="171"/>
  <c r="U11" s="1"/>
  <c r="R12"/>
  <c r="P12"/>
  <c r="O12"/>
  <c r="T27" i="170"/>
  <c r="U27" s="1"/>
  <c r="R33"/>
  <c r="Q33"/>
  <c r="U11"/>
  <c r="T30"/>
  <c r="U30" s="1"/>
  <c r="T14"/>
  <c r="U14" s="1"/>
  <c r="T32"/>
  <c r="U32" s="1"/>
  <c r="T28"/>
  <c r="U28" s="1"/>
  <c r="T12"/>
  <c r="U12" s="1"/>
  <c r="T26"/>
  <c r="U26" s="1"/>
  <c r="T16"/>
  <c r="U16" s="1"/>
  <c r="P33"/>
  <c r="T20"/>
  <c r="U20" s="1"/>
  <c r="O33"/>
  <c r="T22" i="169"/>
  <c r="U22" s="1"/>
  <c r="P33"/>
  <c r="T20"/>
  <c r="U20" s="1"/>
  <c r="T24"/>
  <c r="U24" s="1"/>
  <c r="R33"/>
  <c r="T11"/>
  <c r="T14"/>
  <c r="U14" s="1"/>
  <c r="T32"/>
  <c r="U32" s="1"/>
  <c r="T28"/>
  <c r="U28" s="1"/>
  <c r="T12"/>
  <c r="U12" s="1"/>
  <c r="T16"/>
  <c r="U16" s="1"/>
  <c r="T30" i="168"/>
  <c r="U30" s="1"/>
  <c r="T22"/>
  <c r="U22" s="1"/>
  <c r="T33"/>
  <c r="T34" s="1"/>
  <c r="U11"/>
  <c r="U33" s="1"/>
  <c r="T29"/>
  <c r="U29" s="1"/>
  <c r="T17"/>
  <c r="U17" s="1"/>
  <c r="R33"/>
  <c r="O33"/>
  <c r="T28" i="167"/>
  <c r="U28" s="1"/>
  <c r="R33"/>
  <c r="Q33"/>
  <c r="T25"/>
  <c r="U25" s="1"/>
  <c r="T17"/>
  <c r="U17" s="1"/>
  <c r="T32"/>
  <c r="U32" s="1"/>
  <c r="T12"/>
  <c r="U12" s="1"/>
  <c r="T16"/>
  <c r="U16" s="1"/>
  <c r="O33"/>
  <c r="T29"/>
  <c r="U29" s="1"/>
  <c r="T21"/>
  <c r="U21" s="1"/>
  <c r="T24"/>
  <c r="U24" s="1"/>
  <c r="T20"/>
  <c r="U20" s="1"/>
  <c r="T11"/>
  <c r="T22" i="166"/>
  <c r="U22" s="1"/>
  <c r="T29"/>
  <c r="U29" s="1"/>
  <c r="R33"/>
  <c r="O33"/>
  <c r="T26"/>
  <c r="U26" s="1"/>
  <c r="T25"/>
  <c r="U25" s="1"/>
  <c r="T33"/>
  <c r="T34" s="1"/>
  <c r="U11"/>
  <c r="U33" s="1"/>
  <c r="T13" i="165"/>
  <c r="U13" s="1"/>
  <c r="T15"/>
  <c r="T20"/>
  <c r="U20" s="1"/>
  <c r="R14"/>
  <c r="R18"/>
  <c r="R22"/>
  <c r="P24"/>
  <c r="T24" s="1"/>
  <c r="U24" s="1"/>
  <c r="R26"/>
  <c r="R30"/>
  <c r="Q12"/>
  <c r="T12" s="1"/>
  <c r="U12" s="1"/>
  <c r="R13"/>
  <c r="O14"/>
  <c r="U15"/>
  <c r="Q16"/>
  <c r="T16" s="1"/>
  <c r="U16" s="1"/>
  <c r="R17"/>
  <c r="O18"/>
  <c r="P19"/>
  <c r="T19" s="1"/>
  <c r="U19" s="1"/>
  <c r="Q20"/>
  <c r="R21"/>
  <c r="O22"/>
  <c r="T22" s="1"/>
  <c r="P23"/>
  <c r="T23" s="1"/>
  <c r="U23" s="1"/>
  <c r="Q24"/>
  <c r="R25"/>
  <c r="O26"/>
  <c r="T26" s="1"/>
  <c r="U26" s="1"/>
  <c r="P27"/>
  <c r="Q28"/>
  <c r="T28" s="1"/>
  <c r="U28" s="1"/>
  <c r="R29"/>
  <c r="T29" s="1"/>
  <c r="U29" s="1"/>
  <c r="O30"/>
  <c r="P31"/>
  <c r="T31" s="1"/>
  <c r="U31" s="1"/>
  <c r="Q32"/>
  <c r="T32" s="1"/>
  <c r="U32" s="1"/>
  <c r="R24"/>
  <c r="O25"/>
  <c r="P26"/>
  <c r="Q27"/>
  <c r="T27" s="1"/>
  <c r="U27" s="1"/>
  <c r="R28"/>
  <c r="P30"/>
  <c r="Q31"/>
  <c r="R32"/>
  <c r="R12"/>
  <c r="P14"/>
  <c r="P33" s="1"/>
  <c r="R16"/>
  <c r="P18"/>
  <c r="R20"/>
  <c r="P22"/>
  <c r="U22"/>
  <c r="R11"/>
  <c r="R33" s="1"/>
  <c r="P13"/>
  <c r="P17"/>
  <c r="T17" s="1"/>
  <c r="U17" s="1"/>
  <c r="P21"/>
  <c r="T21" s="1"/>
  <c r="U21" s="1"/>
  <c r="P25"/>
  <c r="T20" i="164"/>
  <c r="U20" s="1"/>
  <c r="T17"/>
  <c r="U17" s="1"/>
  <c r="T25"/>
  <c r="U25" s="1"/>
  <c r="T29"/>
  <c r="U29" s="1"/>
  <c r="O33"/>
  <c r="R14"/>
  <c r="R18"/>
  <c r="R22"/>
  <c r="R26"/>
  <c r="R30"/>
  <c r="P11"/>
  <c r="Q12"/>
  <c r="Q33" s="1"/>
  <c r="O14"/>
  <c r="P15"/>
  <c r="T15" s="1"/>
  <c r="U15" s="1"/>
  <c r="Q16"/>
  <c r="O18"/>
  <c r="P19"/>
  <c r="T19" s="1"/>
  <c r="U19" s="1"/>
  <c r="Q20"/>
  <c r="O22"/>
  <c r="P23"/>
  <c r="T23" s="1"/>
  <c r="U23" s="1"/>
  <c r="Q24"/>
  <c r="T24" s="1"/>
  <c r="U24" s="1"/>
  <c r="O26"/>
  <c r="P27"/>
  <c r="T27" s="1"/>
  <c r="U27" s="1"/>
  <c r="Q28"/>
  <c r="T28" s="1"/>
  <c r="U28" s="1"/>
  <c r="O30"/>
  <c r="P31"/>
  <c r="T31" s="1"/>
  <c r="U31" s="1"/>
  <c r="Q32"/>
  <c r="R12"/>
  <c r="P14"/>
  <c r="R16"/>
  <c r="T16" s="1"/>
  <c r="U16" s="1"/>
  <c r="P18"/>
  <c r="P26"/>
  <c r="R28"/>
  <c r="P30"/>
  <c r="R32"/>
  <c r="T32" s="1"/>
  <c r="U32" s="1"/>
  <c r="R20"/>
  <c r="P22"/>
  <c r="R24"/>
  <c r="R11"/>
  <c r="P20" i="163"/>
  <c r="P19"/>
  <c r="Q20"/>
  <c r="Q23"/>
  <c r="O27"/>
  <c r="T27" s="1"/>
  <c r="U27" s="1"/>
  <c r="P28"/>
  <c r="Q31"/>
  <c r="T14"/>
  <c r="U14" s="1"/>
  <c r="T23"/>
  <c r="U23" s="1"/>
  <c r="P27"/>
  <c r="Q28"/>
  <c r="T19"/>
  <c r="U19" s="1"/>
  <c r="O23"/>
  <c r="P24"/>
  <c r="Q27"/>
  <c r="T31"/>
  <c r="U31" s="1"/>
  <c r="P32"/>
  <c r="Q26"/>
  <c r="P26"/>
  <c r="O26"/>
  <c r="Q13"/>
  <c r="P13"/>
  <c r="O13"/>
  <c r="R26"/>
  <c r="Q30"/>
  <c r="P30"/>
  <c r="O30"/>
  <c r="R13"/>
  <c r="Q17"/>
  <c r="P17"/>
  <c r="O17"/>
  <c r="R30"/>
  <c r="N33"/>
  <c r="P12"/>
  <c r="O12"/>
  <c r="T12" s="1"/>
  <c r="U12" s="1"/>
  <c r="R12"/>
  <c r="R17"/>
  <c r="Q22"/>
  <c r="P22"/>
  <c r="O22"/>
  <c r="R16"/>
  <c r="R21"/>
  <c r="R25"/>
  <c r="R29"/>
  <c r="R11"/>
  <c r="R15"/>
  <c r="T15" s="1"/>
  <c r="U15" s="1"/>
  <c r="O16"/>
  <c r="R20"/>
  <c r="T20" s="1"/>
  <c r="U20" s="1"/>
  <c r="O21"/>
  <c r="R24"/>
  <c r="T24" s="1"/>
  <c r="U24" s="1"/>
  <c r="O25"/>
  <c r="T25" s="1"/>
  <c r="U25" s="1"/>
  <c r="R28"/>
  <c r="T28" s="1"/>
  <c r="U28" s="1"/>
  <c r="O29"/>
  <c r="R32"/>
  <c r="T32" s="1"/>
  <c r="U32" s="1"/>
  <c r="O11"/>
  <c r="P16"/>
  <c r="P21"/>
  <c r="P25"/>
  <c r="P29"/>
  <c r="T29" i="157"/>
  <c r="U29" s="1"/>
  <c r="V25" i="162"/>
  <c r="U25"/>
  <c r="S25"/>
  <c r="U13"/>
  <c r="S13"/>
  <c r="V13"/>
  <c r="P20" i="159"/>
  <c r="V17" i="162"/>
  <c r="M32"/>
  <c r="P30" i="158"/>
  <c r="O18" i="159"/>
  <c r="O12" i="161"/>
  <c r="O30"/>
  <c r="S17" i="162"/>
  <c r="S23"/>
  <c r="O13" i="158"/>
  <c r="O17"/>
  <c r="O21"/>
  <c r="O25"/>
  <c r="O29"/>
  <c r="N12" i="159"/>
  <c r="Q12" i="161"/>
  <c r="Q30"/>
  <c r="P30"/>
  <c r="T30"/>
  <c r="U30" s="1"/>
  <c r="Q28"/>
  <c r="O28"/>
  <c r="Q26"/>
  <c r="Q24"/>
  <c r="O24"/>
  <c r="T24" s="1"/>
  <c r="U24" s="1"/>
  <c r="Q22"/>
  <c r="Q20"/>
  <c r="O20"/>
  <c r="Q18"/>
  <c r="Q16"/>
  <c r="O16"/>
  <c r="Q14"/>
  <c r="S29" i="162"/>
  <c r="S31"/>
  <c r="V29"/>
  <c r="U15"/>
  <c r="U11"/>
  <c r="O15" i="159"/>
  <c r="N22"/>
  <c r="O23"/>
  <c r="N26"/>
  <c r="N14"/>
  <c r="P16"/>
  <c r="P18"/>
  <c r="P22"/>
  <c r="O27"/>
  <c r="O22"/>
  <c r="O11"/>
  <c r="P14"/>
  <c r="N16"/>
  <c r="N18"/>
  <c r="O19"/>
  <c r="P26"/>
  <c r="P28"/>
  <c r="O30"/>
  <c r="P31"/>
  <c r="P30"/>
  <c r="P12"/>
  <c r="O14"/>
  <c r="P24"/>
  <c r="O26"/>
  <c r="S26" s="1"/>
  <c r="T26" s="1"/>
  <c r="N30"/>
  <c r="O31"/>
  <c r="T12" i="162"/>
  <c r="V14"/>
  <c r="T16"/>
  <c r="V18"/>
  <c r="T20"/>
  <c r="V22"/>
  <c r="T24"/>
  <c r="V26"/>
  <c r="T28"/>
  <c r="V30"/>
  <c r="R32"/>
  <c r="V11"/>
  <c r="S12"/>
  <c r="T13"/>
  <c r="X13" s="1"/>
  <c r="Y13" s="1"/>
  <c r="U14"/>
  <c r="V15"/>
  <c r="S16"/>
  <c r="T17"/>
  <c r="X17" s="1"/>
  <c r="Y17" s="1"/>
  <c r="U18"/>
  <c r="V19"/>
  <c r="S20"/>
  <c r="T21"/>
  <c r="X21" s="1"/>
  <c r="Y21" s="1"/>
  <c r="U22"/>
  <c r="V23"/>
  <c r="S24"/>
  <c r="T25"/>
  <c r="X25" s="1"/>
  <c r="Y25" s="1"/>
  <c r="U26"/>
  <c r="V27"/>
  <c r="S28"/>
  <c r="T29"/>
  <c r="U30"/>
  <c r="V31"/>
  <c r="V12"/>
  <c r="T14"/>
  <c r="V16"/>
  <c r="T18"/>
  <c r="V20"/>
  <c r="T22"/>
  <c r="X22" s="1"/>
  <c r="Y22" s="1"/>
  <c r="V24"/>
  <c r="T26"/>
  <c r="V28"/>
  <c r="T11"/>
  <c r="X11" s="1"/>
  <c r="T15"/>
  <c r="T19"/>
  <c r="X19" s="1"/>
  <c r="Y19" s="1"/>
  <c r="T23"/>
  <c r="X23" s="1"/>
  <c r="Y23" s="1"/>
  <c r="T27"/>
  <c r="X27" s="1"/>
  <c r="Y27" s="1"/>
  <c r="T31"/>
  <c r="P15" i="161"/>
  <c r="O11"/>
  <c r="P12"/>
  <c r="Q13"/>
  <c r="R14"/>
  <c r="O15"/>
  <c r="P16"/>
  <c r="Q17"/>
  <c r="R18"/>
  <c r="O19"/>
  <c r="P20"/>
  <c r="Q21"/>
  <c r="R22"/>
  <c r="O23"/>
  <c r="P24"/>
  <c r="Q25"/>
  <c r="R26"/>
  <c r="O27"/>
  <c r="P28"/>
  <c r="Q29"/>
  <c r="O31"/>
  <c r="N32"/>
  <c r="R11"/>
  <c r="P13"/>
  <c r="P17"/>
  <c r="R19"/>
  <c r="P21"/>
  <c r="R23"/>
  <c r="P25"/>
  <c r="R27"/>
  <c r="P29"/>
  <c r="R31"/>
  <c r="R15"/>
  <c r="Q11"/>
  <c r="O13"/>
  <c r="P14"/>
  <c r="Q15"/>
  <c r="O17"/>
  <c r="P18"/>
  <c r="Q19"/>
  <c r="O21"/>
  <c r="P22"/>
  <c r="T22" s="1"/>
  <c r="U22" s="1"/>
  <c r="Q23"/>
  <c r="O25"/>
  <c r="P26"/>
  <c r="Q27"/>
  <c r="O29"/>
  <c r="Q31"/>
  <c r="P19"/>
  <c r="P23"/>
  <c r="P27"/>
  <c r="P31"/>
  <c r="Q13" i="159"/>
  <c r="Q21"/>
  <c r="Q25"/>
  <c r="Q29"/>
  <c r="N11"/>
  <c r="O12"/>
  <c r="S12" s="1"/>
  <c r="T12" s="1"/>
  <c r="P13"/>
  <c r="N15"/>
  <c r="O16"/>
  <c r="S16" s="1"/>
  <c r="T16" s="1"/>
  <c r="P17"/>
  <c r="N19"/>
  <c r="O20"/>
  <c r="P21"/>
  <c r="N23"/>
  <c r="O24"/>
  <c r="P25"/>
  <c r="N27"/>
  <c r="O28"/>
  <c r="P29"/>
  <c r="N31"/>
  <c r="M32"/>
  <c r="O13"/>
  <c r="Q15"/>
  <c r="O17"/>
  <c r="Q19"/>
  <c r="N20"/>
  <c r="O21"/>
  <c r="Q23"/>
  <c r="N24"/>
  <c r="O25"/>
  <c r="Q27"/>
  <c r="N28"/>
  <c r="O29"/>
  <c r="S29" s="1"/>
  <c r="T29" s="1"/>
  <c r="Q17"/>
  <c r="Q11"/>
  <c r="R14" i="158"/>
  <c r="P20"/>
  <c r="R22"/>
  <c r="P24"/>
  <c r="R26"/>
  <c r="P28"/>
  <c r="R30"/>
  <c r="N32"/>
  <c r="P12"/>
  <c r="P16"/>
  <c r="R18"/>
  <c r="R11"/>
  <c r="O12"/>
  <c r="P13"/>
  <c r="T13" s="1"/>
  <c r="U13" s="1"/>
  <c r="Q14"/>
  <c r="R15"/>
  <c r="O16"/>
  <c r="P17"/>
  <c r="T17" s="1"/>
  <c r="U17" s="1"/>
  <c r="Q18"/>
  <c r="R19"/>
  <c r="O20"/>
  <c r="P21"/>
  <c r="Q22"/>
  <c r="R23"/>
  <c r="O24"/>
  <c r="P25"/>
  <c r="T25" s="1"/>
  <c r="U25" s="1"/>
  <c r="Q26"/>
  <c r="R27"/>
  <c r="O28"/>
  <c r="P29"/>
  <c r="T29" s="1"/>
  <c r="U29" s="1"/>
  <c r="Q30"/>
  <c r="T30" s="1"/>
  <c r="U30" s="1"/>
  <c r="R31"/>
  <c r="R16"/>
  <c r="P18"/>
  <c r="R20"/>
  <c r="P22"/>
  <c r="R24"/>
  <c r="P26"/>
  <c r="R28"/>
  <c r="R12"/>
  <c r="P14"/>
  <c r="P11"/>
  <c r="P15"/>
  <c r="T15" s="1"/>
  <c r="U15" s="1"/>
  <c r="P19"/>
  <c r="T19" s="1"/>
  <c r="U19" s="1"/>
  <c r="P23"/>
  <c r="T23" s="1"/>
  <c r="U23" s="1"/>
  <c r="P27"/>
  <c r="T27" s="1"/>
  <c r="U27" s="1"/>
  <c r="P31"/>
  <c r="T31" s="1"/>
  <c r="U31" s="1"/>
  <c r="N16" i="157"/>
  <c r="Q16" s="1"/>
  <c r="N15"/>
  <c r="Q15" s="1"/>
  <c r="S32"/>
  <c r="M32"/>
  <c r="K32"/>
  <c r="N31"/>
  <c r="O31" s="1"/>
  <c r="N30"/>
  <c r="O30" s="1"/>
  <c r="N28"/>
  <c r="R28" s="1"/>
  <c r="N26"/>
  <c r="Q26" s="1"/>
  <c r="N27"/>
  <c r="O27" s="1"/>
  <c r="N25"/>
  <c r="O25" s="1"/>
  <c r="N24"/>
  <c r="R24" s="1"/>
  <c r="N23"/>
  <c r="Q23" s="1"/>
  <c r="N22"/>
  <c r="O22" s="1"/>
  <c r="N21"/>
  <c r="O21" s="1"/>
  <c r="N20"/>
  <c r="R20" s="1"/>
  <c r="N19"/>
  <c r="Q19" s="1"/>
  <c r="N18"/>
  <c r="Q18" s="1"/>
  <c r="N17"/>
  <c r="R17" s="1"/>
  <c r="N14"/>
  <c r="Q14" s="1"/>
  <c r="N13"/>
  <c r="Q13" s="1"/>
  <c r="N12"/>
  <c r="O12" s="1"/>
  <c r="N11"/>
  <c r="Q11" s="1"/>
  <c r="S15" i="156"/>
  <c r="M15"/>
  <c r="K15"/>
  <c r="N13"/>
  <c r="R13" s="1"/>
  <c r="N14"/>
  <c r="R14" s="1"/>
  <c r="N12"/>
  <c r="R12" s="1"/>
  <c r="N11"/>
  <c r="X32" i="155"/>
  <c r="S31"/>
  <c r="M31"/>
  <c r="K31"/>
  <c r="N30"/>
  <c r="Q29"/>
  <c r="N29"/>
  <c r="P29" s="1"/>
  <c r="N28"/>
  <c r="R28" s="1"/>
  <c r="N27"/>
  <c r="R27" s="1"/>
  <c r="N26"/>
  <c r="N25"/>
  <c r="R25" s="1"/>
  <c r="N24"/>
  <c r="R24" s="1"/>
  <c r="Q23"/>
  <c r="N23"/>
  <c r="R23" s="1"/>
  <c r="N22"/>
  <c r="Q21"/>
  <c r="N21"/>
  <c r="R21" s="1"/>
  <c r="N20"/>
  <c r="R20" s="1"/>
  <c r="N19"/>
  <c r="R19" s="1"/>
  <c r="N18"/>
  <c r="N17"/>
  <c r="R17" s="1"/>
  <c r="N16"/>
  <c r="R16" s="1"/>
  <c r="N15"/>
  <c r="R15" s="1"/>
  <c r="N14"/>
  <c r="P14" s="1"/>
  <c r="N13"/>
  <c r="R13" s="1"/>
  <c r="N12"/>
  <c r="R12" s="1"/>
  <c r="Q11"/>
  <c r="N11"/>
  <c r="R11" s="1"/>
  <c r="T34" i="176" l="1"/>
  <c r="T35" s="1"/>
  <c r="U11"/>
  <c r="U34" s="1"/>
  <c r="Y34" i="175"/>
  <c r="Y35" s="1"/>
  <c r="Z34"/>
  <c r="T34" i="174"/>
  <c r="T35" s="1"/>
  <c r="U11"/>
  <c r="U34" s="1"/>
  <c r="T34" i="173"/>
  <c r="T35" s="1"/>
  <c r="U34"/>
  <c r="T34" i="172"/>
  <c r="T35" s="1"/>
  <c r="U11"/>
  <c r="U34" s="1"/>
  <c r="T12" i="171"/>
  <c r="T13" s="1"/>
  <c r="U12"/>
  <c r="T33" i="170"/>
  <c r="T34" s="1"/>
  <c r="U33"/>
  <c r="T33" i="169"/>
  <c r="T34" s="1"/>
  <c r="U11"/>
  <c r="U33" s="1"/>
  <c r="T33" i="167"/>
  <c r="T34" s="1"/>
  <c r="U11"/>
  <c r="U33" s="1"/>
  <c r="Q33" i="165"/>
  <c r="T25"/>
  <c r="U25" s="1"/>
  <c r="T18"/>
  <c r="U18" s="1"/>
  <c r="T14"/>
  <c r="U14" s="1"/>
  <c r="O33"/>
  <c r="T30"/>
  <c r="U30" s="1"/>
  <c r="T11"/>
  <c r="P33" i="164"/>
  <c r="R33"/>
  <c r="T30"/>
  <c r="U30" s="1"/>
  <c r="T26"/>
  <c r="U26" s="1"/>
  <c r="T22"/>
  <c r="U22" s="1"/>
  <c r="T18"/>
  <c r="U18" s="1"/>
  <c r="T14"/>
  <c r="U14" s="1"/>
  <c r="T12"/>
  <c r="U12" s="1"/>
  <c r="T11"/>
  <c r="P33" i="163"/>
  <c r="Q33"/>
  <c r="T30"/>
  <c r="U30" s="1"/>
  <c r="T11"/>
  <c r="O33"/>
  <c r="T16"/>
  <c r="U16" s="1"/>
  <c r="T26"/>
  <c r="U26" s="1"/>
  <c r="T22"/>
  <c r="U22" s="1"/>
  <c r="T29"/>
  <c r="U29" s="1"/>
  <c r="T21"/>
  <c r="U21" s="1"/>
  <c r="R33"/>
  <c r="T17"/>
  <c r="U17" s="1"/>
  <c r="T13"/>
  <c r="U13" s="1"/>
  <c r="Q32" i="158"/>
  <c r="P20" i="155"/>
  <c r="T26" i="158"/>
  <c r="U26" s="1"/>
  <c r="T18"/>
  <c r="U18" s="1"/>
  <c r="T21"/>
  <c r="U21" s="1"/>
  <c r="T26" i="161"/>
  <c r="U26" s="1"/>
  <c r="P12" i="155"/>
  <c r="O15"/>
  <c r="O17"/>
  <c r="O19"/>
  <c r="O27"/>
  <c r="O29"/>
  <c r="T14" i="158"/>
  <c r="U14" s="1"/>
  <c r="T28"/>
  <c r="U28" s="1"/>
  <c r="T20"/>
  <c r="U20" s="1"/>
  <c r="O32"/>
  <c r="T14" i="161"/>
  <c r="U14" s="1"/>
  <c r="S14" i="159"/>
  <c r="T14" s="1"/>
  <c r="S18"/>
  <c r="T18" s="1"/>
  <c r="S22"/>
  <c r="T22" s="1"/>
  <c r="O11" i="155"/>
  <c r="Q15"/>
  <c r="Q17"/>
  <c r="Q19"/>
  <c r="O21"/>
  <c r="O23"/>
  <c r="P25"/>
  <c r="Q27"/>
  <c r="T22" i="158"/>
  <c r="U22" s="1"/>
  <c r="S21" i="159"/>
  <c r="T21" s="1"/>
  <c r="T29" i="161"/>
  <c r="U29" s="1"/>
  <c r="T13"/>
  <c r="U13" s="1"/>
  <c r="T28"/>
  <c r="U28" s="1"/>
  <c r="T20"/>
  <c r="U20" s="1"/>
  <c r="T12"/>
  <c r="U12" s="1"/>
  <c r="X30" i="162"/>
  <c r="Y30" s="1"/>
  <c r="X26"/>
  <c r="Y26" s="1"/>
  <c r="T18" i="161"/>
  <c r="U18" s="1"/>
  <c r="T17"/>
  <c r="U17" s="1"/>
  <c r="T16"/>
  <c r="U16" s="1"/>
  <c r="R32"/>
  <c r="P32"/>
  <c r="X28" i="162"/>
  <c r="Y28" s="1"/>
  <c r="X29"/>
  <c r="Y29" s="1"/>
  <c r="X31"/>
  <c r="Y31" s="1"/>
  <c r="U32"/>
  <c r="X20"/>
  <c r="Y20" s="1"/>
  <c r="X15"/>
  <c r="Y15" s="1"/>
  <c r="X14"/>
  <c r="Y14" s="1"/>
  <c r="X12"/>
  <c r="Y12" s="1"/>
  <c r="P32" i="159"/>
  <c r="S25"/>
  <c r="T25" s="1"/>
  <c r="S13"/>
  <c r="T13" s="1"/>
  <c r="S23"/>
  <c r="T23" s="1"/>
  <c r="S30"/>
  <c r="T30" s="1"/>
  <c r="S19"/>
  <c r="T19" s="1"/>
  <c r="S17"/>
  <c r="T17" s="1"/>
  <c r="S31"/>
  <c r="T31" s="1"/>
  <c r="S27"/>
  <c r="T27" s="1"/>
  <c r="S32" i="162"/>
  <c r="T32"/>
  <c r="X24"/>
  <c r="Y24" s="1"/>
  <c r="V32"/>
  <c r="X18"/>
  <c r="Y18" s="1"/>
  <c r="X16"/>
  <c r="Y16" s="1"/>
  <c r="Y11"/>
  <c r="O32" i="161"/>
  <c r="T11"/>
  <c r="T23"/>
  <c r="U23" s="1"/>
  <c r="T25"/>
  <c r="U25" s="1"/>
  <c r="T31"/>
  <c r="U31" s="1"/>
  <c r="T27"/>
  <c r="U27" s="1"/>
  <c r="Q32"/>
  <c r="T19"/>
  <c r="U19" s="1"/>
  <c r="T21"/>
  <c r="U21" s="1"/>
  <c r="T15"/>
  <c r="U15" s="1"/>
  <c r="O32" i="159"/>
  <c r="S11"/>
  <c r="N32"/>
  <c r="Q32"/>
  <c r="S28"/>
  <c r="T28" s="1"/>
  <c r="S24"/>
  <c r="T24" s="1"/>
  <c r="S20"/>
  <c r="T20" s="1"/>
  <c r="S15"/>
  <c r="T15" s="1"/>
  <c r="P32" i="158"/>
  <c r="T24"/>
  <c r="U24" s="1"/>
  <c r="R32"/>
  <c r="T12"/>
  <c r="U12" s="1"/>
  <c r="T16"/>
  <c r="U16" s="1"/>
  <c r="T11"/>
  <c r="O15" i="157"/>
  <c r="P19"/>
  <c r="P16"/>
  <c r="O13"/>
  <c r="O16"/>
  <c r="R16"/>
  <c r="P15"/>
  <c r="R15"/>
  <c r="O18"/>
  <c r="Q31"/>
  <c r="O17"/>
  <c r="P30"/>
  <c r="Q20"/>
  <c r="Q22"/>
  <c r="Q24"/>
  <c r="Q27"/>
  <c r="Q28"/>
  <c r="Q17"/>
  <c r="O20"/>
  <c r="O24"/>
  <c r="O28"/>
  <c r="P11"/>
  <c r="R12"/>
  <c r="R21"/>
  <c r="P23"/>
  <c r="R25"/>
  <c r="P26"/>
  <c r="R30"/>
  <c r="N32"/>
  <c r="P14"/>
  <c r="O11"/>
  <c r="Q12"/>
  <c r="R13"/>
  <c r="O14"/>
  <c r="P17"/>
  <c r="R18"/>
  <c r="O19"/>
  <c r="P20"/>
  <c r="Q21"/>
  <c r="R22"/>
  <c r="O23"/>
  <c r="P24"/>
  <c r="Q25"/>
  <c r="R27"/>
  <c r="O26"/>
  <c r="P28"/>
  <c r="Q30"/>
  <c r="R31"/>
  <c r="P21"/>
  <c r="R23"/>
  <c r="P25"/>
  <c r="R26"/>
  <c r="R11"/>
  <c r="P12"/>
  <c r="R14"/>
  <c r="R19"/>
  <c r="P13"/>
  <c r="P18"/>
  <c r="P22"/>
  <c r="P27"/>
  <c r="P31"/>
  <c r="P14" i="156"/>
  <c r="O14"/>
  <c r="P12"/>
  <c r="O12"/>
  <c r="Q14"/>
  <c r="Q12"/>
  <c r="O11"/>
  <c r="Q13"/>
  <c r="N15"/>
  <c r="R11"/>
  <c r="P13"/>
  <c r="Q11"/>
  <c r="O13"/>
  <c r="P11"/>
  <c r="Q25" i="155"/>
  <c r="O25"/>
  <c r="T25" s="1"/>
  <c r="U25" s="1"/>
  <c r="P28"/>
  <c r="P21"/>
  <c r="T21"/>
  <c r="U21" s="1"/>
  <c r="P17"/>
  <c r="T17" s="1"/>
  <c r="U17" s="1"/>
  <c r="P13"/>
  <c r="O13"/>
  <c r="Q13"/>
  <c r="T23"/>
  <c r="P11"/>
  <c r="Q12"/>
  <c r="O14"/>
  <c r="P15"/>
  <c r="Q16"/>
  <c r="O18"/>
  <c r="P19"/>
  <c r="T19" s="1"/>
  <c r="U19" s="1"/>
  <c r="Q20"/>
  <c r="O22"/>
  <c r="P23"/>
  <c r="U23"/>
  <c r="Q24"/>
  <c r="O26"/>
  <c r="P27"/>
  <c r="Q28"/>
  <c r="R29"/>
  <c r="T29" s="1"/>
  <c r="U29" s="1"/>
  <c r="O30"/>
  <c r="N31"/>
  <c r="T11"/>
  <c r="U11" s="1"/>
  <c r="R14"/>
  <c r="P16"/>
  <c r="R18"/>
  <c r="R22"/>
  <c r="P24"/>
  <c r="R26"/>
  <c r="R30"/>
  <c r="O12"/>
  <c r="T12" s="1"/>
  <c r="U12" s="1"/>
  <c r="Q14"/>
  <c r="O16"/>
  <c r="T16" s="1"/>
  <c r="U16" s="1"/>
  <c r="Q18"/>
  <c r="O20"/>
  <c r="Q22"/>
  <c r="O24"/>
  <c r="Q26"/>
  <c r="O28"/>
  <c r="T28" s="1"/>
  <c r="U28" s="1"/>
  <c r="Q30"/>
  <c r="P18"/>
  <c r="P22"/>
  <c r="P26"/>
  <c r="P30"/>
  <c r="T33" i="165" l="1"/>
  <c r="T34" s="1"/>
  <c r="U11"/>
  <c r="U33" s="1"/>
  <c r="T33" i="164"/>
  <c r="T34" s="1"/>
  <c r="U11"/>
  <c r="U33" s="1"/>
  <c r="T33" i="163"/>
  <c r="T34" s="1"/>
  <c r="U11"/>
  <c r="U33" s="1"/>
  <c r="R31" i="155"/>
  <c r="T27"/>
  <c r="U27" s="1"/>
  <c r="T13"/>
  <c r="U13" s="1"/>
  <c r="T15"/>
  <c r="U15" s="1"/>
  <c r="Y32" i="162"/>
  <c r="X32"/>
  <c r="X33" s="1"/>
  <c r="T32" i="161"/>
  <c r="T33" s="1"/>
  <c r="U11"/>
  <c r="U32" s="1"/>
  <c r="S32" i="159"/>
  <c r="S33" s="1"/>
  <c r="T11"/>
  <c r="T32" s="1"/>
  <c r="T32" i="158"/>
  <c r="T33" s="1"/>
  <c r="U11"/>
  <c r="U32" s="1"/>
  <c r="T15" i="157"/>
  <c r="U15" s="1"/>
  <c r="T16"/>
  <c r="U16" s="1"/>
  <c r="T19"/>
  <c r="U19" s="1"/>
  <c r="T28"/>
  <c r="U28" s="1"/>
  <c r="T17"/>
  <c r="U17" s="1"/>
  <c r="T27"/>
  <c r="U27" s="1"/>
  <c r="T21"/>
  <c r="U21" s="1"/>
  <c r="T24"/>
  <c r="U24" s="1"/>
  <c r="T20"/>
  <c r="U20" s="1"/>
  <c r="T30"/>
  <c r="U30" s="1"/>
  <c r="T18"/>
  <c r="U18" s="1"/>
  <c r="T22"/>
  <c r="U22" s="1"/>
  <c r="T31"/>
  <c r="U31" s="1"/>
  <c r="T13"/>
  <c r="U13" s="1"/>
  <c r="T12"/>
  <c r="U12" s="1"/>
  <c r="T25"/>
  <c r="U25" s="1"/>
  <c r="Q32"/>
  <c r="O32"/>
  <c r="T11"/>
  <c r="T23"/>
  <c r="U23" s="1"/>
  <c r="R32"/>
  <c r="T26"/>
  <c r="U26" s="1"/>
  <c r="T14"/>
  <c r="U14" s="1"/>
  <c r="P32"/>
  <c r="T14" i="156"/>
  <c r="U14" s="1"/>
  <c r="T13"/>
  <c r="U13" s="1"/>
  <c r="R15"/>
  <c r="T12"/>
  <c r="U12" s="1"/>
  <c r="Q15"/>
  <c r="T11"/>
  <c r="U11" s="1"/>
  <c r="P15"/>
  <c r="O15"/>
  <c r="T24" i="155"/>
  <c r="U24" s="1"/>
  <c r="Q31"/>
  <c r="T20"/>
  <c r="U20" s="1"/>
  <c r="T14"/>
  <c r="U14" s="1"/>
  <c r="T30"/>
  <c r="U30" s="1"/>
  <c r="P31"/>
  <c r="O31"/>
  <c r="T26"/>
  <c r="U26" s="1"/>
  <c r="T22"/>
  <c r="U22" s="1"/>
  <c r="T18"/>
  <c r="U18" s="1"/>
  <c r="U31" l="1"/>
  <c r="T32" i="157"/>
  <c r="T33" s="1"/>
  <c r="U11"/>
  <c r="U32" s="1"/>
  <c r="T15" i="156"/>
  <c r="T16" s="1"/>
  <c r="U15"/>
  <c r="T31" i="155"/>
  <c r="T32" s="1"/>
  <c r="Q25" i="153" l="1"/>
  <c r="Q14"/>
  <c r="M31"/>
  <c r="K31"/>
  <c r="N30"/>
  <c r="N29"/>
  <c r="N28"/>
  <c r="Q28" s="1"/>
  <c r="N27"/>
  <c r="Q27" s="1"/>
  <c r="N26"/>
  <c r="Q26" s="1"/>
  <c r="N25"/>
  <c r="N24"/>
  <c r="N23"/>
  <c r="N22"/>
  <c r="N21"/>
  <c r="Q21" s="1"/>
  <c r="N20"/>
  <c r="Q20" s="1"/>
  <c r="N19"/>
  <c r="N18"/>
  <c r="N17"/>
  <c r="Q17" s="1"/>
  <c r="N16"/>
  <c r="Q16" s="1"/>
  <c r="N15"/>
  <c r="Q15" s="1"/>
  <c r="N14"/>
  <c r="N13"/>
  <c r="Q13" s="1"/>
  <c r="N12"/>
  <c r="Q12" s="1"/>
  <c r="N11"/>
  <c r="Q11" s="1"/>
  <c r="S31" i="152"/>
  <c r="M31"/>
  <c r="K31"/>
  <c r="N30"/>
  <c r="Q29"/>
  <c r="P29"/>
  <c r="O29"/>
  <c r="N29"/>
  <c r="R29" s="1"/>
  <c r="N28"/>
  <c r="R28" s="1"/>
  <c r="Q27"/>
  <c r="O27"/>
  <c r="N27"/>
  <c r="R27" s="1"/>
  <c r="N26"/>
  <c r="Q25"/>
  <c r="P25"/>
  <c r="O25"/>
  <c r="N25"/>
  <c r="R25" s="1"/>
  <c r="N24"/>
  <c r="R24" s="1"/>
  <c r="Q23"/>
  <c r="O23"/>
  <c r="N23"/>
  <c r="R23" s="1"/>
  <c r="N22"/>
  <c r="Q21"/>
  <c r="N21"/>
  <c r="R21" s="1"/>
  <c r="N20"/>
  <c r="R20" s="1"/>
  <c r="N19"/>
  <c r="R19" s="1"/>
  <c r="N18"/>
  <c r="N17"/>
  <c r="Q17" s="1"/>
  <c r="N16"/>
  <c r="R16" s="1"/>
  <c r="N15"/>
  <c r="R15" s="1"/>
  <c r="N14"/>
  <c r="N13"/>
  <c r="Q13" s="1"/>
  <c r="N12"/>
  <c r="R12" s="1"/>
  <c r="N11"/>
  <c r="R11" s="1"/>
  <c r="Q31" i="153" l="1"/>
  <c r="O11" i="152"/>
  <c r="O13"/>
  <c r="T13" s="1"/>
  <c r="U13" s="1"/>
  <c r="O15"/>
  <c r="O17"/>
  <c r="O19"/>
  <c r="O21"/>
  <c r="T21" s="1"/>
  <c r="U21" s="1"/>
  <c r="Q11"/>
  <c r="Q15"/>
  <c r="Q19"/>
  <c r="P21"/>
  <c r="T25"/>
  <c r="U25" s="1"/>
  <c r="N31" i="153"/>
  <c r="T29" i="152"/>
  <c r="U29" s="1"/>
  <c r="P11"/>
  <c r="T11" s="1"/>
  <c r="U11" s="1"/>
  <c r="Q12"/>
  <c r="R13"/>
  <c r="O14"/>
  <c r="P15"/>
  <c r="Q16"/>
  <c r="R17"/>
  <c r="O18"/>
  <c r="P19"/>
  <c r="T19" s="1"/>
  <c r="U19" s="1"/>
  <c r="Q20"/>
  <c r="O22"/>
  <c r="P23"/>
  <c r="T23" s="1"/>
  <c r="U23" s="1"/>
  <c r="Q24"/>
  <c r="O26"/>
  <c r="P27"/>
  <c r="T27" s="1"/>
  <c r="U27" s="1"/>
  <c r="Q28"/>
  <c r="O30"/>
  <c r="N31"/>
  <c r="P12"/>
  <c r="R14"/>
  <c r="P16"/>
  <c r="R18"/>
  <c r="P20"/>
  <c r="R22"/>
  <c r="P24"/>
  <c r="R26"/>
  <c r="P28"/>
  <c r="R30"/>
  <c r="O12"/>
  <c r="P13"/>
  <c r="Q14"/>
  <c r="O16"/>
  <c r="T16" s="1"/>
  <c r="U16" s="1"/>
  <c r="P17"/>
  <c r="Q18"/>
  <c r="O20"/>
  <c r="T20" s="1"/>
  <c r="U20" s="1"/>
  <c r="Q22"/>
  <c r="O24"/>
  <c r="Q26"/>
  <c r="O28"/>
  <c r="T28" s="1"/>
  <c r="U28" s="1"/>
  <c r="Q30"/>
  <c r="P14"/>
  <c r="P18"/>
  <c r="P22"/>
  <c r="P26"/>
  <c r="P30"/>
  <c r="T17" l="1"/>
  <c r="U17" s="1"/>
  <c r="Q31"/>
  <c r="R31"/>
  <c r="T15"/>
  <c r="U15" s="1"/>
  <c r="T24"/>
  <c r="U24" s="1"/>
  <c r="T12"/>
  <c r="U12" s="1"/>
  <c r="T14"/>
  <c r="U14" s="1"/>
  <c r="U31" s="1"/>
  <c r="P31"/>
  <c r="O31"/>
  <c r="T30"/>
  <c r="U30" s="1"/>
  <c r="T26"/>
  <c r="U26" s="1"/>
  <c r="T22"/>
  <c r="U22" s="1"/>
  <c r="T18"/>
  <c r="U18" s="1"/>
  <c r="O32" i="153" l="1"/>
  <c r="T31" i="152"/>
  <c r="T32" s="1"/>
  <c r="S31" i="147" l="1"/>
  <c r="M31"/>
  <c r="K31"/>
  <c r="N30"/>
  <c r="R30" s="1"/>
  <c r="O29"/>
  <c r="N29"/>
  <c r="R29" s="1"/>
  <c r="N28"/>
  <c r="Q28" s="1"/>
  <c r="Q27"/>
  <c r="P27"/>
  <c r="N27"/>
  <c r="R27" s="1"/>
  <c r="P26"/>
  <c r="O26"/>
  <c r="N26"/>
  <c r="R26" s="1"/>
  <c r="N25"/>
  <c r="R25" s="1"/>
  <c r="N24"/>
  <c r="Q24" s="1"/>
  <c r="N23"/>
  <c r="R23" s="1"/>
  <c r="N22"/>
  <c r="R22" s="1"/>
  <c r="O21"/>
  <c r="N21"/>
  <c r="R21" s="1"/>
  <c r="N20"/>
  <c r="Q20" s="1"/>
  <c r="Q19"/>
  <c r="P19"/>
  <c r="N19"/>
  <c r="R19" s="1"/>
  <c r="P18"/>
  <c r="O18"/>
  <c r="N18"/>
  <c r="R18" s="1"/>
  <c r="N17"/>
  <c r="R17" s="1"/>
  <c r="N16"/>
  <c r="Q16" s="1"/>
  <c r="N15"/>
  <c r="R15" s="1"/>
  <c r="N14"/>
  <c r="R14" s="1"/>
  <c r="O13"/>
  <c r="N13"/>
  <c r="R13" s="1"/>
  <c r="N12"/>
  <c r="Q11"/>
  <c r="P11"/>
  <c r="N11"/>
  <c r="R11" s="1"/>
  <c r="S31" i="146"/>
  <c r="M31"/>
  <c r="K31"/>
  <c r="N30"/>
  <c r="O30" s="1"/>
  <c r="N29"/>
  <c r="O29" s="1"/>
  <c r="N28"/>
  <c r="R28" s="1"/>
  <c r="P27"/>
  <c r="N27"/>
  <c r="Q27" s="1"/>
  <c r="N26"/>
  <c r="O26" s="1"/>
  <c r="N25"/>
  <c r="O25" s="1"/>
  <c r="N24"/>
  <c r="R24" s="1"/>
  <c r="N23"/>
  <c r="Q23" s="1"/>
  <c r="N22"/>
  <c r="O22" s="1"/>
  <c r="N21"/>
  <c r="O21" s="1"/>
  <c r="N20"/>
  <c r="R20" s="1"/>
  <c r="N19"/>
  <c r="Q19" s="1"/>
  <c r="N18"/>
  <c r="O18" s="1"/>
  <c r="N17"/>
  <c r="O17" s="1"/>
  <c r="N16"/>
  <c r="R16" s="1"/>
  <c r="N15"/>
  <c r="Q15" s="1"/>
  <c r="R14"/>
  <c r="N14"/>
  <c r="O14" s="1"/>
  <c r="N13"/>
  <c r="O13" s="1"/>
  <c r="N12"/>
  <c r="R12" s="1"/>
  <c r="N11"/>
  <c r="Q11" s="1"/>
  <c r="S31" i="145"/>
  <c r="M31"/>
  <c r="K31"/>
  <c r="N30"/>
  <c r="Q30" s="1"/>
  <c r="N29"/>
  <c r="R29" s="1"/>
  <c r="N28"/>
  <c r="R28" s="1"/>
  <c r="N27"/>
  <c r="R27" s="1"/>
  <c r="N26"/>
  <c r="Q26" s="1"/>
  <c r="N25"/>
  <c r="R25" s="1"/>
  <c r="N24"/>
  <c r="R24" s="1"/>
  <c r="N23"/>
  <c r="R23" s="1"/>
  <c r="P22"/>
  <c r="N22"/>
  <c r="Q22" s="1"/>
  <c r="N21"/>
  <c r="R21" s="1"/>
  <c r="N20"/>
  <c r="R20" s="1"/>
  <c r="N19"/>
  <c r="R19" s="1"/>
  <c r="N18"/>
  <c r="Q18" s="1"/>
  <c r="Q17"/>
  <c r="N17"/>
  <c r="R17" s="1"/>
  <c r="N16"/>
  <c r="R16" s="1"/>
  <c r="Q15"/>
  <c r="N15"/>
  <c r="R15" s="1"/>
  <c r="N14"/>
  <c r="Q14" s="1"/>
  <c r="N13"/>
  <c r="R13" s="1"/>
  <c r="N12"/>
  <c r="R12" s="1"/>
  <c r="N11"/>
  <c r="Q11" s="1"/>
  <c r="S31" i="144"/>
  <c r="M31"/>
  <c r="K31"/>
  <c r="N30"/>
  <c r="N29"/>
  <c r="O29" s="1"/>
  <c r="N28"/>
  <c r="R28" s="1"/>
  <c r="N27"/>
  <c r="Q27" s="1"/>
  <c r="N26"/>
  <c r="Q25"/>
  <c r="P25"/>
  <c r="N25"/>
  <c r="O25" s="1"/>
  <c r="N24"/>
  <c r="R24" s="1"/>
  <c r="N23"/>
  <c r="Q23" s="1"/>
  <c r="N22"/>
  <c r="N21"/>
  <c r="O21" s="1"/>
  <c r="N20"/>
  <c r="R20" s="1"/>
  <c r="N19"/>
  <c r="Q19" s="1"/>
  <c r="N18"/>
  <c r="N17"/>
  <c r="O17" s="1"/>
  <c r="N16"/>
  <c r="R16" s="1"/>
  <c r="N15"/>
  <c r="Q15" s="1"/>
  <c r="N14"/>
  <c r="N13"/>
  <c r="O13" s="1"/>
  <c r="P12"/>
  <c r="N12"/>
  <c r="R12" s="1"/>
  <c r="N11"/>
  <c r="Q11" s="1"/>
  <c r="Q21" l="1"/>
  <c r="O24"/>
  <c r="Q13" i="145"/>
  <c r="O21"/>
  <c r="T21" s="1"/>
  <c r="U21" s="1"/>
  <c r="P20" i="146"/>
  <c r="O15" i="147"/>
  <c r="O23"/>
  <c r="T23" s="1"/>
  <c r="U23" s="1"/>
  <c r="P20" i="144"/>
  <c r="P24"/>
  <c r="P21" i="145"/>
  <c r="Q27"/>
  <c r="O19" i="146"/>
  <c r="Q20"/>
  <c r="P28"/>
  <c r="Q20" i="144"/>
  <c r="P17" i="145"/>
  <c r="P11" i="146"/>
  <c r="P19"/>
  <c r="O27"/>
  <c r="Q28"/>
  <c r="O11" i="147"/>
  <c r="P14"/>
  <c r="Q15"/>
  <c r="O19"/>
  <c r="T19" s="1"/>
  <c r="U19" s="1"/>
  <c r="P22"/>
  <c r="Q23"/>
  <c r="O27"/>
  <c r="T27" s="1"/>
  <c r="U27" s="1"/>
  <c r="P30"/>
  <c r="P16" i="144"/>
  <c r="Q29" i="145"/>
  <c r="Q12" i="146"/>
  <c r="N31" i="147"/>
  <c r="O14"/>
  <c r="P15"/>
  <c r="O17"/>
  <c r="O22"/>
  <c r="P23"/>
  <c r="O25"/>
  <c r="O30"/>
  <c r="T11"/>
  <c r="R16"/>
  <c r="R20"/>
  <c r="R24"/>
  <c r="R28"/>
  <c r="O12"/>
  <c r="P13"/>
  <c r="Q14"/>
  <c r="T14" s="1"/>
  <c r="U14" s="1"/>
  <c r="O16"/>
  <c r="P17"/>
  <c r="Q18"/>
  <c r="T18" s="1"/>
  <c r="U18" s="1"/>
  <c r="O20"/>
  <c r="P21"/>
  <c r="T21" s="1"/>
  <c r="U21" s="1"/>
  <c r="Q22"/>
  <c r="T22" s="1"/>
  <c r="U22" s="1"/>
  <c r="O24"/>
  <c r="P25"/>
  <c r="Q26"/>
  <c r="T26" s="1"/>
  <c r="U26" s="1"/>
  <c r="O28"/>
  <c r="T28" s="1"/>
  <c r="U28" s="1"/>
  <c r="P29"/>
  <c r="Q30"/>
  <c r="R12"/>
  <c r="P12"/>
  <c r="Q13"/>
  <c r="T13" s="1"/>
  <c r="U13" s="1"/>
  <c r="P16"/>
  <c r="Q17"/>
  <c r="P20"/>
  <c r="Q21"/>
  <c r="P24"/>
  <c r="Q25"/>
  <c r="T25" s="1"/>
  <c r="U25" s="1"/>
  <c r="P28"/>
  <c r="Q29"/>
  <c r="T29" s="1"/>
  <c r="U29" s="1"/>
  <c r="Q12"/>
  <c r="P13" i="144"/>
  <c r="P17"/>
  <c r="Q24"/>
  <c r="T24" s="1"/>
  <c r="U24" s="1"/>
  <c r="P28"/>
  <c r="T28" s="1"/>
  <c r="U28" s="1"/>
  <c r="Q29"/>
  <c r="O13" i="145"/>
  <c r="P14"/>
  <c r="Q21"/>
  <c r="Q23"/>
  <c r="P25"/>
  <c r="O29"/>
  <c r="P30"/>
  <c r="O12" i="146"/>
  <c r="T12" s="1"/>
  <c r="U12" s="1"/>
  <c r="O15"/>
  <c r="P16"/>
  <c r="O23"/>
  <c r="P24"/>
  <c r="T24" s="1"/>
  <c r="U24" s="1"/>
  <c r="O28" i="144"/>
  <c r="P29"/>
  <c r="Q19" i="145"/>
  <c r="O25"/>
  <c r="P26"/>
  <c r="O16" i="146"/>
  <c r="O24"/>
  <c r="O12" i="144"/>
  <c r="T12" s="1"/>
  <c r="U12" s="1"/>
  <c r="Q13"/>
  <c r="O16"/>
  <c r="Q17"/>
  <c r="O20"/>
  <c r="P21"/>
  <c r="Q28"/>
  <c r="P13" i="145"/>
  <c r="O17"/>
  <c r="T17" s="1"/>
  <c r="U17" s="1"/>
  <c r="P18"/>
  <c r="Q25"/>
  <c r="P29"/>
  <c r="T29" s="1"/>
  <c r="U29" s="1"/>
  <c r="O11" i="146"/>
  <c r="P12"/>
  <c r="P15"/>
  <c r="Q16"/>
  <c r="O20"/>
  <c r="T20" s="1"/>
  <c r="U20" s="1"/>
  <c r="P23"/>
  <c r="Q24"/>
  <c r="O28"/>
  <c r="R17"/>
  <c r="T17" s="1"/>
  <c r="U17" s="1"/>
  <c r="R21"/>
  <c r="R25"/>
  <c r="R29"/>
  <c r="N31"/>
  <c r="R13"/>
  <c r="Q13"/>
  <c r="Q17"/>
  <c r="R18"/>
  <c r="Q21"/>
  <c r="R22"/>
  <c r="Q25"/>
  <c r="R26"/>
  <c r="Q29"/>
  <c r="R30"/>
  <c r="R11"/>
  <c r="P13"/>
  <c r="Q14"/>
  <c r="R15"/>
  <c r="P17"/>
  <c r="Q18"/>
  <c r="R19"/>
  <c r="P21"/>
  <c r="Q22"/>
  <c r="R23"/>
  <c r="T23" s="1"/>
  <c r="U23" s="1"/>
  <c r="P25"/>
  <c r="Q26"/>
  <c r="R27"/>
  <c r="T27" s="1"/>
  <c r="U27" s="1"/>
  <c r="P29"/>
  <c r="Q30"/>
  <c r="P14"/>
  <c r="P18"/>
  <c r="P22"/>
  <c r="T22" s="1"/>
  <c r="U22" s="1"/>
  <c r="P26"/>
  <c r="P30"/>
  <c r="T13" i="145"/>
  <c r="U13" s="1"/>
  <c r="P11"/>
  <c r="Q12"/>
  <c r="O14"/>
  <c r="P15"/>
  <c r="Q16"/>
  <c r="O18"/>
  <c r="P19"/>
  <c r="Q20"/>
  <c r="O22"/>
  <c r="P23"/>
  <c r="Q24"/>
  <c r="O26"/>
  <c r="P27"/>
  <c r="Q28"/>
  <c r="O30"/>
  <c r="N31"/>
  <c r="O11"/>
  <c r="P12"/>
  <c r="R14"/>
  <c r="O15"/>
  <c r="T15" s="1"/>
  <c r="U15" s="1"/>
  <c r="P16"/>
  <c r="R18"/>
  <c r="O19"/>
  <c r="P20"/>
  <c r="R22"/>
  <c r="O23"/>
  <c r="P24"/>
  <c r="R26"/>
  <c r="O27"/>
  <c r="P28"/>
  <c r="R30"/>
  <c r="R11"/>
  <c r="O12"/>
  <c r="T12" s="1"/>
  <c r="U12" s="1"/>
  <c r="O16"/>
  <c r="O20"/>
  <c r="O24"/>
  <c r="O28"/>
  <c r="T28" s="1"/>
  <c r="U28" s="1"/>
  <c r="T20" i="144"/>
  <c r="U20" s="1"/>
  <c r="P11"/>
  <c r="Q12"/>
  <c r="R13"/>
  <c r="O14"/>
  <c r="P15"/>
  <c r="Q16"/>
  <c r="T16" s="1"/>
  <c r="U16" s="1"/>
  <c r="R17"/>
  <c r="O18"/>
  <c r="P19"/>
  <c r="R21"/>
  <c r="T21" s="1"/>
  <c r="U21" s="1"/>
  <c r="O22"/>
  <c r="P23"/>
  <c r="R25"/>
  <c r="T25" s="1"/>
  <c r="U25" s="1"/>
  <c r="O26"/>
  <c r="P27"/>
  <c r="R29"/>
  <c r="O30"/>
  <c r="N31"/>
  <c r="O11"/>
  <c r="R14"/>
  <c r="O15"/>
  <c r="R18"/>
  <c r="O19"/>
  <c r="R22"/>
  <c r="O23"/>
  <c r="R26"/>
  <c r="O27"/>
  <c r="R30"/>
  <c r="R11"/>
  <c r="Q14"/>
  <c r="R15"/>
  <c r="Q18"/>
  <c r="R19"/>
  <c r="Q22"/>
  <c r="R23"/>
  <c r="Q26"/>
  <c r="R27"/>
  <c r="Q30"/>
  <c r="P14"/>
  <c r="P18"/>
  <c r="P22"/>
  <c r="P26"/>
  <c r="P30"/>
  <c r="S31" i="142"/>
  <c r="M31"/>
  <c r="K31"/>
  <c r="N30"/>
  <c r="R30" s="1"/>
  <c r="N29"/>
  <c r="Q29" s="1"/>
  <c r="N28"/>
  <c r="Q28" s="1"/>
  <c r="Q27"/>
  <c r="P27"/>
  <c r="N27"/>
  <c r="R27" s="1"/>
  <c r="N26"/>
  <c r="R26" s="1"/>
  <c r="N25"/>
  <c r="Q25" s="1"/>
  <c r="N24"/>
  <c r="Q24" s="1"/>
  <c r="N23"/>
  <c r="R23" s="1"/>
  <c r="N22"/>
  <c r="R22" s="1"/>
  <c r="N21"/>
  <c r="Q21" s="1"/>
  <c r="N20"/>
  <c r="Q20" s="1"/>
  <c r="N19"/>
  <c r="R19" s="1"/>
  <c r="N18"/>
  <c r="R18" s="1"/>
  <c r="N17"/>
  <c r="Q17" s="1"/>
  <c r="N16"/>
  <c r="P16" s="1"/>
  <c r="Q15"/>
  <c r="P15"/>
  <c r="N15"/>
  <c r="R15" s="1"/>
  <c r="N14"/>
  <c r="R14" s="1"/>
  <c r="N13"/>
  <c r="Q13" s="1"/>
  <c r="N12"/>
  <c r="O12" s="1"/>
  <c r="N11"/>
  <c r="R11" s="1"/>
  <c r="P31" i="147" l="1"/>
  <c r="T13" i="144"/>
  <c r="U13" s="1"/>
  <c r="T20" i="145"/>
  <c r="U20" s="1"/>
  <c r="T11" i="146"/>
  <c r="U11" s="1"/>
  <c r="T28"/>
  <c r="U28" s="1"/>
  <c r="Q31" i="147"/>
  <c r="R31"/>
  <c r="O22" i="142"/>
  <c r="Q23"/>
  <c r="T23" i="145"/>
  <c r="U23" s="1"/>
  <c r="T30" i="146"/>
  <c r="U30" s="1"/>
  <c r="T16"/>
  <c r="U16" s="1"/>
  <c r="T30" i="147"/>
  <c r="U30" s="1"/>
  <c r="T20"/>
  <c r="U20" s="1"/>
  <c r="T15"/>
  <c r="U15" s="1"/>
  <c r="P23" i="142"/>
  <c r="T17" i="147"/>
  <c r="U17" s="1"/>
  <c r="Q16" i="142"/>
  <c r="P22"/>
  <c r="O27"/>
  <c r="T27" s="1"/>
  <c r="U27" s="1"/>
  <c r="T27" i="145"/>
  <c r="U27" s="1"/>
  <c r="T25" i="146"/>
  <c r="U25" s="1"/>
  <c r="T19"/>
  <c r="U19" s="1"/>
  <c r="T29"/>
  <c r="U29" s="1"/>
  <c r="O31"/>
  <c r="T24" i="147"/>
  <c r="U24" s="1"/>
  <c r="T16"/>
  <c r="U16" s="1"/>
  <c r="T12"/>
  <c r="U12" s="1"/>
  <c r="O31"/>
  <c r="U11"/>
  <c r="P12" i="142"/>
  <c r="O19"/>
  <c r="T19" s="1"/>
  <c r="U19" s="1"/>
  <c r="T29" i="144"/>
  <c r="U29" s="1"/>
  <c r="T24" i="145"/>
  <c r="U24" s="1"/>
  <c r="R31"/>
  <c r="Q31"/>
  <c r="P31" i="146"/>
  <c r="T18"/>
  <c r="U18" s="1"/>
  <c r="P11" i="142"/>
  <c r="P19"/>
  <c r="O26"/>
  <c r="T17" i="144"/>
  <c r="U17" s="1"/>
  <c r="T14" i="146"/>
  <c r="U14" s="1"/>
  <c r="T25" i="145"/>
  <c r="U25" s="1"/>
  <c r="O11" i="142"/>
  <c r="O14"/>
  <c r="Q12"/>
  <c r="Q11"/>
  <c r="O15"/>
  <c r="T15" s="1"/>
  <c r="U15" s="1"/>
  <c r="O18"/>
  <c r="Q19"/>
  <c r="O23"/>
  <c r="T23" s="1"/>
  <c r="U23" s="1"/>
  <c r="O30"/>
  <c r="Q31" i="144"/>
  <c r="T16" i="145"/>
  <c r="U16" s="1"/>
  <c r="T19"/>
  <c r="U19" s="1"/>
  <c r="T26" i="146"/>
  <c r="U26" s="1"/>
  <c r="T21"/>
  <c r="U21" s="1"/>
  <c r="T15"/>
  <c r="U15" s="1"/>
  <c r="Q31"/>
  <c r="T13"/>
  <c r="U13" s="1"/>
  <c r="R31"/>
  <c r="P31" i="145"/>
  <c r="O31"/>
  <c r="T11"/>
  <c r="T30"/>
  <c r="U30" s="1"/>
  <c r="T26"/>
  <c r="U26" s="1"/>
  <c r="T22"/>
  <c r="U22" s="1"/>
  <c r="T18"/>
  <c r="U18" s="1"/>
  <c r="T14"/>
  <c r="U14" s="1"/>
  <c r="R31" i="144"/>
  <c r="T23"/>
  <c r="U23" s="1"/>
  <c r="T15"/>
  <c r="U15" s="1"/>
  <c r="T30"/>
  <c r="U30" s="1"/>
  <c r="T26"/>
  <c r="U26" s="1"/>
  <c r="T22"/>
  <c r="U22" s="1"/>
  <c r="T18"/>
  <c r="U18" s="1"/>
  <c r="O31"/>
  <c r="T11"/>
  <c r="T27"/>
  <c r="U27" s="1"/>
  <c r="T19"/>
  <c r="U19" s="1"/>
  <c r="T14"/>
  <c r="U14" s="1"/>
  <c r="P31"/>
  <c r="R25" i="142"/>
  <c r="N31"/>
  <c r="O13"/>
  <c r="R16"/>
  <c r="R17"/>
  <c r="R29"/>
  <c r="R12"/>
  <c r="T12" s="1"/>
  <c r="U12" s="1"/>
  <c r="P14"/>
  <c r="O17"/>
  <c r="P18"/>
  <c r="R20"/>
  <c r="O21"/>
  <c r="R24"/>
  <c r="O25"/>
  <c r="P26"/>
  <c r="T26" s="1"/>
  <c r="U26" s="1"/>
  <c r="R28"/>
  <c r="O29"/>
  <c r="P30"/>
  <c r="P13"/>
  <c r="Q14"/>
  <c r="T14" s="1"/>
  <c r="U14" s="1"/>
  <c r="O16"/>
  <c r="T16" s="1"/>
  <c r="U16" s="1"/>
  <c r="P17"/>
  <c r="Q18"/>
  <c r="Q31" s="1"/>
  <c r="O20"/>
  <c r="P21"/>
  <c r="Q22"/>
  <c r="O24"/>
  <c r="T24" s="1"/>
  <c r="U24" s="1"/>
  <c r="P25"/>
  <c r="Q26"/>
  <c r="O28"/>
  <c r="P29"/>
  <c r="Q30"/>
  <c r="R13"/>
  <c r="R21"/>
  <c r="P20"/>
  <c r="P24"/>
  <c r="P28"/>
  <c r="O28" i="141"/>
  <c r="N28"/>
  <c r="O25"/>
  <c r="N25"/>
  <c r="O22"/>
  <c r="N22"/>
  <c r="R21"/>
  <c r="V21" s="1"/>
  <c r="O20"/>
  <c r="N20"/>
  <c r="M20"/>
  <c r="O17"/>
  <c r="N17"/>
  <c r="O15"/>
  <c r="N15"/>
  <c r="O14"/>
  <c r="N14"/>
  <c r="R11"/>
  <c r="S11" s="1"/>
  <c r="M28"/>
  <c r="M25"/>
  <c r="M22"/>
  <c r="R19"/>
  <c r="V19" s="1"/>
  <c r="R18"/>
  <c r="U18" s="1"/>
  <c r="M17"/>
  <c r="M15"/>
  <c r="M14"/>
  <c r="L31"/>
  <c r="W31"/>
  <c r="Q31"/>
  <c r="P31"/>
  <c r="K31"/>
  <c r="R30"/>
  <c r="V30" s="1"/>
  <c r="R29"/>
  <c r="U29" s="1"/>
  <c r="R27"/>
  <c r="V27" s="1"/>
  <c r="R26"/>
  <c r="V26" s="1"/>
  <c r="R24"/>
  <c r="V24" s="1"/>
  <c r="R23"/>
  <c r="U23" s="1"/>
  <c r="R16"/>
  <c r="R13"/>
  <c r="V13" s="1"/>
  <c r="R12"/>
  <c r="U12" s="1"/>
  <c r="T22" i="142" l="1"/>
  <c r="U22" s="1"/>
  <c r="T11"/>
  <c r="T31" i="147"/>
  <c r="T32" s="1"/>
  <c r="U31"/>
  <c r="T18" i="142"/>
  <c r="U18" s="1"/>
  <c r="R17" i="141"/>
  <c r="U17" s="1"/>
  <c r="T17" i="142"/>
  <c r="U17" s="1"/>
  <c r="U31" i="146"/>
  <c r="P31" i="142"/>
  <c r="T21" i="141"/>
  <c r="T30" i="142"/>
  <c r="U30" s="1"/>
  <c r="T20"/>
  <c r="U20" s="1"/>
  <c r="T31" i="146"/>
  <c r="T32" s="1"/>
  <c r="T31" i="145"/>
  <c r="T32" s="1"/>
  <c r="U11"/>
  <c r="U31" s="1"/>
  <c r="T31" i="144"/>
  <c r="T32" s="1"/>
  <c r="U11"/>
  <c r="U31" s="1"/>
  <c r="T13" i="142"/>
  <c r="U13" s="1"/>
  <c r="T29"/>
  <c r="U29" s="1"/>
  <c r="T25"/>
  <c r="U25" s="1"/>
  <c r="T28"/>
  <c r="U28" s="1"/>
  <c r="O31"/>
  <c r="R31"/>
  <c r="T21"/>
  <c r="U21" s="1"/>
  <c r="U11"/>
  <c r="S21" i="141"/>
  <c r="R25"/>
  <c r="V25" s="1"/>
  <c r="R15"/>
  <c r="U15" s="1"/>
  <c r="O31"/>
  <c r="U21"/>
  <c r="R22"/>
  <c r="U22" s="1"/>
  <c r="R28"/>
  <c r="V28" s="1"/>
  <c r="R14"/>
  <c r="R20"/>
  <c r="T20" s="1"/>
  <c r="N31"/>
  <c r="M31"/>
  <c r="S24"/>
  <c r="S26"/>
  <c r="S13"/>
  <c r="T27"/>
  <c r="S23"/>
  <c r="T18"/>
  <c r="T24"/>
  <c r="S17"/>
  <c r="T12"/>
  <c r="U13"/>
  <c r="S18"/>
  <c r="T19"/>
  <c r="S27"/>
  <c r="S30"/>
  <c r="U19"/>
  <c r="S12"/>
  <c r="T13"/>
  <c r="S19"/>
  <c r="T23"/>
  <c r="U24"/>
  <c r="V11"/>
  <c r="U14"/>
  <c r="U16"/>
  <c r="U11"/>
  <c r="V12"/>
  <c r="V18"/>
  <c r="V23"/>
  <c r="U26"/>
  <c r="T29"/>
  <c r="U30"/>
  <c r="T11"/>
  <c r="S14"/>
  <c r="S16"/>
  <c r="T17"/>
  <c r="S20"/>
  <c r="T26"/>
  <c r="U27"/>
  <c r="S29"/>
  <c r="T30"/>
  <c r="V16"/>
  <c r="V20"/>
  <c r="V29"/>
  <c r="V17"/>
  <c r="U20"/>
  <c r="V22"/>
  <c r="V14"/>
  <c r="T14"/>
  <c r="T16"/>
  <c r="S31" i="137"/>
  <c r="M31"/>
  <c r="K31"/>
  <c r="N30"/>
  <c r="P29"/>
  <c r="N29"/>
  <c r="R29" s="1"/>
  <c r="N28"/>
  <c r="R28" s="1"/>
  <c r="N27"/>
  <c r="R27" s="1"/>
  <c r="N26"/>
  <c r="N25"/>
  <c r="R25" s="1"/>
  <c r="N24"/>
  <c r="R24" s="1"/>
  <c r="N23"/>
  <c r="R23" s="1"/>
  <c r="N22"/>
  <c r="N21"/>
  <c r="R21" s="1"/>
  <c r="N20"/>
  <c r="R20" s="1"/>
  <c r="N19"/>
  <c r="N18"/>
  <c r="N17"/>
  <c r="R17" s="1"/>
  <c r="N16"/>
  <c r="R16" s="1"/>
  <c r="N15"/>
  <c r="R15" s="1"/>
  <c r="N14"/>
  <c r="N13"/>
  <c r="O13" s="1"/>
  <c r="N12"/>
  <c r="R12" s="1"/>
  <c r="N11"/>
  <c r="R11" s="1"/>
  <c r="O27" l="1"/>
  <c r="S28" i="141"/>
  <c r="S15"/>
  <c r="T28"/>
  <c r="O11" i="137"/>
  <c r="S25" i="141"/>
  <c r="S22"/>
  <c r="O17" i="137"/>
  <c r="T17" s="1"/>
  <c r="U17" s="1"/>
  <c r="U25" i="141"/>
  <c r="T22"/>
  <c r="T31" i="142"/>
  <c r="T32" s="1"/>
  <c r="U31"/>
  <c r="R19" i="137"/>
  <c r="O23"/>
  <c r="O25"/>
  <c r="T25" i="141"/>
  <c r="T31" s="1"/>
  <c r="U28"/>
  <c r="Q23" i="137"/>
  <c r="P25"/>
  <c r="O15"/>
  <c r="Q25"/>
  <c r="Q27"/>
  <c r="T15" i="141"/>
  <c r="V15"/>
  <c r="X15" s="1"/>
  <c r="Y15" s="1"/>
  <c r="R31"/>
  <c r="X21"/>
  <c r="Y21" s="1"/>
  <c r="X11"/>
  <c r="Y11" s="1"/>
  <c r="X24"/>
  <c r="Y24" s="1"/>
  <c r="X13"/>
  <c r="Y13" s="1"/>
  <c r="X27"/>
  <c r="Y27" s="1"/>
  <c r="X17"/>
  <c r="Y17" s="1"/>
  <c r="X18"/>
  <c r="Y18" s="1"/>
  <c r="X23"/>
  <c r="Y23" s="1"/>
  <c r="S31"/>
  <c r="X19"/>
  <c r="Y19" s="1"/>
  <c r="X12"/>
  <c r="Y12" s="1"/>
  <c r="X22"/>
  <c r="Y22" s="1"/>
  <c r="X16"/>
  <c r="Y16" s="1"/>
  <c r="X30"/>
  <c r="Y30" s="1"/>
  <c r="X26"/>
  <c r="Y26" s="1"/>
  <c r="X29"/>
  <c r="Y29" s="1"/>
  <c r="X14"/>
  <c r="Y14" s="1"/>
  <c r="X20"/>
  <c r="Y20" s="1"/>
  <c r="U31"/>
  <c r="Q29" i="137"/>
  <c r="O29"/>
  <c r="P21"/>
  <c r="O21"/>
  <c r="Q21"/>
  <c r="O19"/>
  <c r="Q19"/>
  <c r="Q17"/>
  <c r="P17"/>
  <c r="Q15"/>
  <c r="Q13"/>
  <c r="Q11"/>
  <c r="P14"/>
  <c r="P11"/>
  <c r="Q12"/>
  <c r="R13"/>
  <c r="O14"/>
  <c r="P15"/>
  <c r="Q16"/>
  <c r="O18"/>
  <c r="P19"/>
  <c r="Q20"/>
  <c r="O22"/>
  <c r="P23"/>
  <c r="T23" s="1"/>
  <c r="U23" s="1"/>
  <c r="Q24"/>
  <c r="O26"/>
  <c r="P27"/>
  <c r="Q28"/>
  <c r="O30"/>
  <c r="N31"/>
  <c r="P16"/>
  <c r="R18"/>
  <c r="P20"/>
  <c r="R22"/>
  <c r="P24"/>
  <c r="R26"/>
  <c r="P28"/>
  <c r="R30"/>
  <c r="P12"/>
  <c r="R14"/>
  <c r="O12"/>
  <c r="P13"/>
  <c r="Q14"/>
  <c r="O16"/>
  <c r="Q18"/>
  <c r="O20"/>
  <c r="Q22"/>
  <c r="O24"/>
  <c r="Q26"/>
  <c r="O28"/>
  <c r="Q30"/>
  <c r="P18"/>
  <c r="P22"/>
  <c r="P26"/>
  <c r="P30"/>
  <c r="S31" i="136"/>
  <c r="M31"/>
  <c r="K31"/>
  <c r="N30"/>
  <c r="P29"/>
  <c r="N29"/>
  <c r="Q29" s="1"/>
  <c r="N28"/>
  <c r="O28" s="1"/>
  <c r="Q27"/>
  <c r="N27"/>
  <c r="R27" s="1"/>
  <c r="N26"/>
  <c r="Q26" s="1"/>
  <c r="N25"/>
  <c r="R25" s="1"/>
  <c r="N24"/>
  <c r="R24" s="1"/>
  <c r="N23"/>
  <c r="R23" s="1"/>
  <c r="N22"/>
  <c r="P22" s="1"/>
  <c r="N21"/>
  <c r="R21" s="1"/>
  <c r="N20"/>
  <c r="O20" s="1"/>
  <c r="N19"/>
  <c r="R19" s="1"/>
  <c r="N18"/>
  <c r="P18" s="1"/>
  <c r="N17"/>
  <c r="R17" s="1"/>
  <c r="N16"/>
  <c r="R16" s="1"/>
  <c r="N15"/>
  <c r="R15" s="1"/>
  <c r="N14"/>
  <c r="P14" s="1"/>
  <c r="N13"/>
  <c r="R13" s="1"/>
  <c r="N12"/>
  <c r="O12" s="1"/>
  <c r="N11"/>
  <c r="R11" s="1"/>
  <c r="S31" i="134"/>
  <c r="M31"/>
  <c r="K31"/>
  <c r="N30"/>
  <c r="P30" s="1"/>
  <c r="N29"/>
  <c r="Q29" s="1"/>
  <c r="N28"/>
  <c r="O28" s="1"/>
  <c r="O27"/>
  <c r="N27"/>
  <c r="R27" s="1"/>
  <c r="N26"/>
  <c r="P26" s="1"/>
  <c r="N25"/>
  <c r="Q25" s="1"/>
  <c r="N24"/>
  <c r="O24" s="1"/>
  <c r="N23"/>
  <c r="R23" s="1"/>
  <c r="N22"/>
  <c r="N21"/>
  <c r="Q21" s="1"/>
  <c r="N20"/>
  <c r="R20" s="1"/>
  <c r="N19"/>
  <c r="R19" s="1"/>
  <c r="N18"/>
  <c r="P18" s="1"/>
  <c r="N17"/>
  <c r="Q17" s="1"/>
  <c r="N16"/>
  <c r="O16" s="1"/>
  <c r="N15"/>
  <c r="R15" s="1"/>
  <c r="N14"/>
  <c r="N13"/>
  <c r="Q13" s="1"/>
  <c r="N12"/>
  <c r="O12" s="1"/>
  <c r="N11"/>
  <c r="R11" s="1"/>
  <c r="O15" l="1"/>
  <c r="X28" i="141"/>
  <c r="Y28" s="1"/>
  <c r="O19" i="134"/>
  <c r="P12" i="136"/>
  <c r="O17"/>
  <c r="T21" i="137"/>
  <c r="U21" s="1"/>
  <c r="X25" i="141"/>
  <c r="Y25" s="1"/>
  <c r="O23" i="134"/>
  <c r="P17" i="136"/>
  <c r="Q19"/>
  <c r="T11" i="137"/>
  <c r="U11" s="1"/>
  <c r="O11" i="134"/>
  <c r="Q11" i="136"/>
  <c r="O13"/>
  <c r="P16"/>
  <c r="Q17"/>
  <c r="O27"/>
  <c r="O29"/>
  <c r="T29" i="137"/>
  <c r="U29" s="1"/>
  <c r="T12"/>
  <c r="U12" s="1"/>
  <c r="T15"/>
  <c r="U15" s="1"/>
  <c r="V31" i="141"/>
  <c r="T25" i="137"/>
  <c r="U25" s="1"/>
  <c r="O17" i="134"/>
  <c r="O25"/>
  <c r="O11" i="136"/>
  <c r="O19"/>
  <c r="O21"/>
  <c r="T24" i="137"/>
  <c r="U24" s="1"/>
  <c r="O13" i="134"/>
  <c r="O21"/>
  <c r="O29"/>
  <c r="T20" i="137"/>
  <c r="U20" s="1"/>
  <c r="T13"/>
  <c r="U13" s="1"/>
  <c r="T27"/>
  <c r="U27" s="1"/>
  <c r="Y31" i="141"/>
  <c r="X31"/>
  <c r="X32" s="1"/>
  <c r="T19" i="137"/>
  <c r="U19" s="1"/>
  <c r="T16"/>
  <c r="U16" s="1"/>
  <c r="Q31"/>
  <c r="R31"/>
  <c r="T28"/>
  <c r="U28" s="1"/>
  <c r="T30"/>
  <c r="U30" s="1"/>
  <c r="T26"/>
  <c r="U26" s="1"/>
  <c r="T22"/>
  <c r="U22" s="1"/>
  <c r="T18"/>
  <c r="U18" s="1"/>
  <c r="T14"/>
  <c r="U14" s="1"/>
  <c r="P31"/>
  <c r="O31"/>
  <c r="Q13" i="136"/>
  <c r="Q15"/>
  <c r="T17"/>
  <c r="U17" s="1"/>
  <c r="P20"/>
  <c r="Q21"/>
  <c r="Q23"/>
  <c r="P25"/>
  <c r="Q25"/>
  <c r="Q11" i="134"/>
  <c r="Q15"/>
  <c r="Q19"/>
  <c r="Q23"/>
  <c r="Q27"/>
  <c r="P13" i="136"/>
  <c r="O15"/>
  <c r="P21"/>
  <c r="O23"/>
  <c r="O25"/>
  <c r="P28"/>
  <c r="R12"/>
  <c r="R20"/>
  <c r="P26"/>
  <c r="R28"/>
  <c r="P30"/>
  <c r="P11"/>
  <c r="Q12"/>
  <c r="O14"/>
  <c r="P15"/>
  <c r="Q16"/>
  <c r="O18"/>
  <c r="P19"/>
  <c r="Q20"/>
  <c r="O22"/>
  <c r="P23"/>
  <c r="Q24"/>
  <c r="O26"/>
  <c r="P27"/>
  <c r="T27" s="1"/>
  <c r="U27" s="1"/>
  <c r="Q28"/>
  <c r="R29"/>
  <c r="O30"/>
  <c r="N31"/>
  <c r="R18"/>
  <c r="P24"/>
  <c r="R26"/>
  <c r="R14"/>
  <c r="R22"/>
  <c r="R30"/>
  <c r="Q14"/>
  <c r="O16"/>
  <c r="Q18"/>
  <c r="Q22"/>
  <c r="O24"/>
  <c r="Q30"/>
  <c r="R12" i="134"/>
  <c r="P14"/>
  <c r="R16"/>
  <c r="P22"/>
  <c r="R24"/>
  <c r="R28"/>
  <c r="P11"/>
  <c r="Q12"/>
  <c r="R13"/>
  <c r="O14"/>
  <c r="P15"/>
  <c r="T15" s="1"/>
  <c r="U15" s="1"/>
  <c r="Q16"/>
  <c r="R17"/>
  <c r="O18"/>
  <c r="P19"/>
  <c r="Q20"/>
  <c r="R21"/>
  <c r="O22"/>
  <c r="P23"/>
  <c r="Q24"/>
  <c r="R25"/>
  <c r="O26"/>
  <c r="P27"/>
  <c r="Q28"/>
  <c r="R29"/>
  <c r="O30"/>
  <c r="N31"/>
  <c r="R14"/>
  <c r="P20"/>
  <c r="P24"/>
  <c r="T24" s="1"/>
  <c r="U24" s="1"/>
  <c r="R26"/>
  <c r="P12"/>
  <c r="P16"/>
  <c r="R18"/>
  <c r="R22"/>
  <c r="P28"/>
  <c r="R30"/>
  <c r="P13"/>
  <c r="Q14"/>
  <c r="P17"/>
  <c r="Q18"/>
  <c r="O20"/>
  <c r="T20" s="1"/>
  <c r="U20" s="1"/>
  <c r="P21"/>
  <c r="Q22"/>
  <c r="P25"/>
  <c r="Q26"/>
  <c r="P29"/>
  <c r="Q30"/>
  <c r="T28" i="136" l="1"/>
  <c r="U28" s="1"/>
  <c r="T12" i="134"/>
  <c r="U12" s="1"/>
  <c r="T17"/>
  <c r="U17" s="1"/>
  <c r="T24" i="136"/>
  <c r="U24" s="1"/>
  <c r="T13" i="134"/>
  <c r="U13" s="1"/>
  <c r="T30" i="136"/>
  <c r="U30" s="1"/>
  <c r="T20"/>
  <c r="U20" s="1"/>
  <c r="T29"/>
  <c r="U29" s="1"/>
  <c r="T19"/>
  <c r="U19" s="1"/>
  <c r="T25"/>
  <c r="U25" s="1"/>
  <c r="T28" i="134"/>
  <c r="U28" s="1"/>
  <c r="T16"/>
  <c r="U16" s="1"/>
  <c r="T29"/>
  <c r="U29" s="1"/>
  <c r="R31"/>
  <c r="T21" i="136"/>
  <c r="U21" s="1"/>
  <c r="T23"/>
  <c r="U23" s="1"/>
  <c r="T21" i="134"/>
  <c r="U21" s="1"/>
  <c r="T27"/>
  <c r="U27" s="1"/>
  <c r="T19"/>
  <c r="U19" s="1"/>
  <c r="T11"/>
  <c r="U11" s="1"/>
  <c r="T11" i="136"/>
  <c r="U11" s="1"/>
  <c r="T13"/>
  <c r="U13" s="1"/>
  <c r="U31" i="137"/>
  <c r="T31"/>
  <c r="T32" s="1"/>
  <c r="T23" i="134"/>
  <c r="U23" s="1"/>
  <c r="Q31"/>
  <c r="T15" i="136"/>
  <c r="U15" s="1"/>
  <c r="R31"/>
  <c r="T25" i="134"/>
  <c r="U25" s="1"/>
  <c r="T22"/>
  <c r="U22" s="1"/>
  <c r="Q31" i="136"/>
  <c r="T16"/>
  <c r="U16" s="1"/>
  <c r="T12"/>
  <c r="U12" s="1"/>
  <c r="T26"/>
  <c r="U26" s="1"/>
  <c r="T22"/>
  <c r="U22" s="1"/>
  <c r="T18"/>
  <c r="U18" s="1"/>
  <c r="T14"/>
  <c r="U14" s="1"/>
  <c r="P31"/>
  <c r="O31"/>
  <c r="T30" i="134"/>
  <c r="U30" s="1"/>
  <c r="T14"/>
  <c r="U14" s="1"/>
  <c r="P31"/>
  <c r="T26"/>
  <c r="U26" s="1"/>
  <c r="T18"/>
  <c r="U18" s="1"/>
  <c r="O31"/>
  <c r="U31" i="136" l="1"/>
  <c r="U31" i="134"/>
  <c r="T31" i="136"/>
  <c r="T32" s="1"/>
  <c r="T31" i="134"/>
  <c r="T32" s="1"/>
  <c r="N21" i="131" l="1"/>
  <c r="Q21" s="1"/>
  <c r="S31"/>
  <c r="M31"/>
  <c r="K31"/>
  <c r="N30"/>
  <c r="O30" s="1"/>
  <c r="N29"/>
  <c r="O29" s="1"/>
  <c r="N28"/>
  <c r="R28" s="1"/>
  <c r="N27"/>
  <c r="Q27" s="1"/>
  <c r="N26"/>
  <c r="Q26" s="1"/>
  <c r="N25"/>
  <c r="O25" s="1"/>
  <c r="N24"/>
  <c r="R24" s="1"/>
  <c r="N23"/>
  <c r="Q23" s="1"/>
  <c r="N22"/>
  <c r="Q22" s="1"/>
  <c r="N20"/>
  <c r="O20" s="1"/>
  <c r="N19"/>
  <c r="R19" s="1"/>
  <c r="N18"/>
  <c r="Q18" s="1"/>
  <c r="N17"/>
  <c r="Q17" s="1"/>
  <c r="N16"/>
  <c r="O16" s="1"/>
  <c r="N15"/>
  <c r="R15" s="1"/>
  <c r="N14"/>
  <c r="Q14" s="1"/>
  <c r="N13"/>
  <c r="O13" s="1"/>
  <c r="N12"/>
  <c r="O12" s="1"/>
  <c r="N11"/>
  <c r="Q11" s="1"/>
  <c r="S17" i="130"/>
  <c r="M17"/>
  <c r="K17"/>
  <c r="N16"/>
  <c r="R16" s="1"/>
  <c r="N15"/>
  <c r="O15" s="1"/>
  <c r="Q13" i="131" l="1"/>
  <c r="Q30"/>
  <c r="Q28"/>
  <c r="P16"/>
  <c r="O21"/>
  <c r="O16" i="130"/>
  <c r="R11" i="131"/>
  <c r="N31"/>
  <c r="O19"/>
  <c r="O22"/>
  <c r="O24"/>
  <c r="O26"/>
  <c r="O28"/>
  <c r="P21"/>
  <c r="R21"/>
  <c r="P16" i="130"/>
  <c r="O11" i="131"/>
  <c r="O15"/>
  <c r="O17"/>
  <c r="Q19"/>
  <c r="Q24"/>
  <c r="P28"/>
  <c r="Q15"/>
  <c r="R12"/>
  <c r="P18"/>
  <c r="P23"/>
  <c r="R25"/>
  <c r="R29"/>
  <c r="P14"/>
  <c r="R16"/>
  <c r="R20"/>
  <c r="P27"/>
  <c r="P11"/>
  <c r="Q12"/>
  <c r="R13"/>
  <c r="O14"/>
  <c r="P15"/>
  <c r="Q16"/>
  <c r="R17"/>
  <c r="O18"/>
  <c r="P19"/>
  <c r="Q20"/>
  <c r="R22"/>
  <c r="O23"/>
  <c r="P24"/>
  <c r="Q25"/>
  <c r="R26"/>
  <c r="O27"/>
  <c r="Q29"/>
  <c r="R30"/>
  <c r="P12"/>
  <c r="R14"/>
  <c r="R18"/>
  <c r="P25"/>
  <c r="P29"/>
  <c r="P20"/>
  <c r="R23"/>
  <c r="R27"/>
  <c r="P13"/>
  <c r="T13" s="1"/>
  <c r="U13" s="1"/>
  <c r="P17"/>
  <c r="P22"/>
  <c r="P26"/>
  <c r="P30"/>
  <c r="Q16" i="130"/>
  <c r="N17"/>
  <c r="R15"/>
  <c r="R17" s="1"/>
  <c r="Q15"/>
  <c r="P15"/>
  <c r="K27" i="129"/>
  <c r="N27" s="1"/>
  <c r="K26"/>
  <c r="K25"/>
  <c r="N25" s="1"/>
  <c r="R25" s="1"/>
  <c r="K24"/>
  <c r="N24" s="1"/>
  <c r="K23"/>
  <c r="N23" s="1"/>
  <c r="P23" s="1"/>
  <c r="K20"/>
  <c r="N20" s="1"/>
  <c r="Q20" s="1"/>
  <c r="K17"/>
  <c r="N17" s="1"/>
  <c r="K16"/>
  <c r="N16" s="1"/>
  <c r="R16" s="1"/>
  <c r="K15"/>
  <c r="K14"/>
  <c r="N14" s="1"/>
  <c r="K13"/>
  <c r="N13" s="1"/>
  <c r="R13" s="1"/>
  <c r="K12"/>
  <c r="N12" s="1"/>
  <c r="O12" s="1"/>
  <c r="S30"/>
  <c r="M30"/>
  <c r="N29"/>
  <c r="O29" s="1"/>
  <c r="N28"/>
  <c r="O28" s="1"/>
  <c r="N26"/>
  <c r="N22"/>
  <c r="O22" s="1"/>
  <c r="N21"/>
  <c r="P21" s="1"/>
  <c r="N19"/>
  <c r="Q19" s="1"/>
  <c r="N18"/>
  <c r="N15"/>
  <c r="Q15" s="1"/>
  <c r="N11"/>
  <c r="Q11" s="1"/>
  <c r="M30" i="128"/>
  <c r="K30"/>
  <c r="N29"/>
  <c r="Q29" s="1"/>
  <c r="N28"/>
  <c r="Q28" s="1"/>
  <c r="N27"/>
  <c r="Q27" s="1"/>
  <c r="N26"/>
  <c r="Q26" s="1"/>
  <c r="N25"/>
  <c r="Q25" s="1"/>
  <c r="N24"/>
  <c r="Q24" s="1"/>
  <c r="N23"/>
  <c r="Q23" s="1"/>
  <c r="N22"/>
  <c r="Q22" s="1"/>
  <c r="N21"/>
  <c r="Q21" s="1"/>
  <c r="N20"/>
  <c r="Q20" s="1"/>
  <c r="N19"/>
  <c r="Q19" s="1"/>
  <c r="N18"/>
  <c r="Q18" s="1"/>
  <c r="N17"/>
  <c r="Q17" s="1"/>
  <c r="N16"/>
  <c r="Q16" s="1"/>
  <c r="N15"/>
  <c r="Q15" s="1"/>
  <c r="N14"/>
  <c r="Q14" s="1"/>
  <c r="N13"/>
  <c r="Q13" s="1"/>
  <c r="N12"/>
  <c r="Q12" s="1"/>
  <c r="N11"/>
  <c r="Q11" s="1"/>
  <c r="S30" i="127"/>
  <c r="M30"/>
  <c r="K30"/>
  <c r="N29"/>
  <c r="O29" s="1"/>
  <c r="N28"/>
  <c r="R28" s="1"/>
  <c r="N27"/>
  <c r="P27" s="1"/>
  <c r="N26"/>
  <c r="O26" s="1"/>
  <c r="N25"/>
  <c r="Q25" s="1"/>
  <c r="N24"/>
  <c r="R24" s="1"/>
  <c r="N23"/>
  <c r="Q23" s="1"/>
  <c r="N22"/>
  <c r="P22" s="1"/>
  <c r="N21"/>
  <c r="O21" s="1"/>
  <c r="N20"/>
  <c r="P20" s="1"/>
  <c r="N19"/>
  <c r="P19" s="1"/>
  <c r="N18"/>
  <c r="P18" s="1"/>
  <c r="N17"/>
  <c r="O17" s="1"/>
  <c r="N16"/>
  <c r="Q16" s="1"/>
  <c r="N15"/>
  <c r="R15" s="1"/>
  <c r="N14"/>
  <c r="Q14" s="1"/>
  <c r="N13"/>
  <c r="P13" s="1"/>
  <c r="N12"/>
  <c r="O12" s="1"/>
  <c r="N11"/>
  <c r="Q11" s="1"/>
  <c r="R27" l="1"/>
  <c r="Q26"/>
  <c r="P28"/>
  <c r="O11" i="129"/>
  <c r="T28" i="131"/>
  <c r="U28" s="1"/>
  <c r="Q28" i="127"/>
  <c r="P11" i="129"/>
  <c r="T24" i="131"/>
  <c r="U24" s="1"/>
  <c r="T30"/>
  <c r="U30" s="1"/>
  <c r="Q17" i="127"/>
  <c r="P24"/>
  <c r="P29" i="129"/>
  <c r="R12"/>
  <c r="P28"/>
  <c r="R17" i="127"/>
  <c r="R19"/>
  <c r="R26"/>
  <c r="Q29"/>
  <c r="Q28" i="129"/>
  <c r="Q29"/>
  <c r="T25" i="131"/>
  <c r="U25" s="1"/>
  <c r="T16"/>
  <c r="U16" s="1"/>
  <c r="T11"/>
  <c r="R29" i="127"/>
  <c r="O19" i="129"/>
  <c r="R22"/>
  <c r="T22" i="131"/>
  <c r="U22" s="1"/>
  <c r="T19"/>
  <c r="U19" s="1"/>
  <c r="R18" i="127"/>
  <c r="R20"/>
  <c r="P19" i="129"/>
  <c r="T20" i="131"/>
  <c r="U20" s="1"/>
  <c r="T17"/>
  <c r="U17" s="1"/>
  <c r="T16" i="130"/>
  <c r="U16" s="1"/>
  <c r="Q30" i="128"/>
  <c r="O14" i="129"/>
  <c r="Q14"/>
  <c r="R14"/>
  <c r="O31" i="131"/>
  <c r="R21" i="129"/>
  <c r="Q31" i="131"/>
  <c r="P16" i="127"/>
  <c r="O21" i="129"/>
  <c r="T15" i="131"/>
  <c r="U15" s="1"/>
  <c r="R12" i="127"/>
  <c r="O15"/>
  <c r="O19"/>
  <c r="O20"/>
  <c r="P21"/>
  <c r="P25"/>
  <c r="P22" i="129"/>
  <c r="Q23"/>
  <c r="R29"/>
  <c r="T29" i="131"/>
  <c r="U29" s="1"/>
  <c r="T23"/>
  <c r="U23" s="1"/>
  <c r="T21"/>
  <c r="U21" s="1"/>
  <c r="N30" i="127"/>
  <c r="P15"/>
  <c r="Q19"/>
  <c r="Q20"/>
  <c r="R21"/>
  <c r="O24"/>
  <c r="O28"/>
  <c r="T28" s="1"/>
  <c r="U28" s="1"/>
  <c r="P29"/>
  <c r="Q21" i="129"/>
  <c r="Q22"/>
  <c r="R23"/>
  <c r="T26" i="131"/>
  <c r="U26" s="1"/>
  <c r="R31"/>
  <c r="T12"/>
  <c r="U12" s="1"/>
  <c r="T27"/>
  <c r="U27" s="1"/>
  <c r="T14"/>
  <c r="U14" s="1"/>
  <c r="P31"/>
  <c r="T18"/>
  <c r="U18" s="1"/>
  <c r="U11"/>
  <c r="Q17" i="130"/>
  <c r="T15"/>
  <c r="U15" s="1"/>
  <c r="O17"/>
  <c r="P17"/>
  <c r="Q24" i="129"/>
  <c r="R24"/>
  <c r="O23"/>
  <c r="O20"/>
  <c r="P20"/>
  <c r="K30"/>
  <c r="P15"/>
  <c r="R15"/>
  <c r="P14"/>
  <c r="O13"/>
  <c r="P13"/>
  <c r="Q13"/>
  <c r="P12"/>
  <c r="Q12"/>
  <c r="N30"/>
  <c r="N30" i="128"/>
  <c r="O18" i="129"/>
  <c r="O27"/>
  <c r="O17"/>
  <c r="P18"/>
  <c r="O26"/>
  <c r="P27"/>
  <c r="R11"/>
  <c r="O16"/>
  <c r="P17"/>
  <c r="Q18"/>
  <c r="R19"/>
  <c r="R20"/>
  <c r="O25"/>
  <c r="P26"/>
  <c r="Q27"/>
  <c r="R28"/>
  <c r="T28" s="1"/>
  <c r="U28" s="1"/>
  <c r="O15"/>
  <c r="P16"/>
  <c r="Q17"/>
  <c r="R18"/>
  <c r="O24"/>
  <c r="P25"/>
  <c r="Q26"/>
  <c r="R27"/>
  <c r="Q16"/>
  <c r="R17"/>
  <c r="P24"/>
  <c r="Q25"/>
  <c r="R26"/>
  <c r="O11" i="127"/>
  <c r="P12"/>
  <c r="Q13"/>
  <c r="R14"/>
  <c r="Q22"/>
  <c r="R23"/>
  <c r="P11"/>
  <c r="Q12"/>
  <c r="R13"/>
  <c r="O18"/>
  <c r="Q21"/>
  <c r="R22"/>
  <c r="O27"/>
  <c r="R11"/>
  <c r="O16"/>
  <c r="P17"/>
  <c r="T17" s="1"/>
  <c r="U17" s="1"/>
  <c r="Q18"/>
  <c r="O25"/>
  <c r="P26"/>
  <c r="Q27"/>
  <c r="O23"/>
  <c r="O13"/>
  <c r="P14"/>
  <c r="Q15"/>
  <c r="R16"/>
  <c r="O22"/>
  <c r="P23"/>
  <c r="Q24"/>
  <c r="T24" s="1"/>
  <c r="U24" s="1"/>
  <c r="R25"/>
  <c r="O14"/>
  <c r="S30" i="125"/>
  <c r="M30"/>
  <c r="K30"/>
  <c r="N29"/>
  <c r="Q29" s="1"/>
  <c r="N28"/>
  <c r="Q28" s="1"/>
  <c r="N27"/>
  <c r="O27" s="1"/>
  <c r="N26"/>
  <c r="R26" s="1"/>
  <c r="N25"/>
  <c r="N24"/>
  <c r="Q24" s="1"/>
  <c r="N23"/>
  <c r="O23" s="1"/>
  <c r="N22"/>
  <c r="R22" s="1"/>
  <c r="N21"/>
  <c r="N20"/>
  <c r="Q20" s="1"/>
  <c r="N19"/>
  <c r="O19" s="1"/>
  <c r="N18"/>
  <c r="R18" s="1"/>
  <c r="N17"/>
  <c r="N16"/>
  <c r="Q16" s="1"/>
  <c r="N15"/>
  <c r="O15" s="1"/>
  <c r="N14"/>
  <c r="R14" s="1"/>
  <c r="N13"/>
  <c r="R13" s="1"/>
  <c r="N12"/>
  <c r="Q12" s="1"/>
  <c r="N11"/>
  <c r="O11" s="1"/>
  <c r="S30" i="124"/>
  <c r="M30"/>
  <c r="K30"/>
  <c r="N29"/>
  <c r="R29" s="1"/>
  <c r="N28"/>
  <c r="R28" s="1"/>
  <c r="N27"/>
  <c r="Q27" s="1"/>
  <c r="N26"/>
  <c r="Q26" s="1"/>
  <c r="N25"/>
  <c r="R25" s="1"/>
  <c r="N24"/>
  <c r="R24" s="1"/>
  <c r="N23"/>
  <c r="Q23" s="1"/>
  <c r="N22"/>
  <c r="Q22" s="1"/>
  <c r="N21"/>
  <c r="R21" s="1"/>
  <c r="N20"/>
  <c r="R20" s="1"/>
  <c r="N19"/>
  <c r="Q19" s="1"/>
  <c r="N18"/>
  <c r="Q18" s="1"/>
  <c r="N17"/>
  <c r="R17" s="1"/>
  <c r="N16"/>
  <c r="R16" s="1"/>
  <c r="N15"/>
  <c r="Q15" s="1"/>
  <c r="N14"/>
  <c r="R14" s="1"/>
  <c r="N13"/>
  <c r="R13" s="1"/>
  <c r="N12"/>
  <c r="Q12" s="1"/>
  <c r="N11"/>
  <c r="S31" i="123"/>
  <c r="M31"/>
  <c r="K31"/>
  <c r="N30"/>
  <c r="R30" s="1"/>
  <c r="N29"/>
  <c r="Q29" s="1"/>
  <c r="N28"/>
  <c r="R28" s="1"/>
  <c r="N27"/>
  <c r="R27" s="1"/>
  <c r="N26"/>
  <c r="R26" s="1"/>
  <c r="N25"/>
  <c r="Q25" s="1"/>
  <c r="N24"/>
  <c r="R24" s="1"/>
  <c r="N23"/>
  <c r="R23" s="1"/>
  <c r="N22"/>
  <c r="R22" s="1"/>
  <c r="N21"/>
  <c r="Q21" s="1"/>
  <c r="N20"/>
  <c r="R20" s="1"/>
  <c r="N19"/>
  <c r="R19" s="1"/>
  <c r="N18"/>
  <c r="Q18" s="1"/>
  <c r="N17"/>
  <c r="Q17" s="1"/>
  <c r="N16"/>
  <c r="R16" s="1"/>
  <c r="N15"/>
  <c r="R15" s="1"/>
  <c r="N14"/>
  <c r="R14" s="1"/>
  <c r="N13"/>
  <c r="Q13" s="1"/>
  <c r="N12"/>
  <c r="R12" s="1"/>
  <c r="N11"/>
  <c r="R11" s="1"/>
  <c r="S31" i="122"/>
  <c r="M31"/>
  <c r="K31"/>
  <c r="N30"/>
  <c r="O30" s="1"/>
  <c r="N29"/>
  <c r="R29" s="1"/>
  <c r="N28"/>
  <c r="R28" s="1"/>
  <c r="N27"/>
  <c r="R27" s="1"/>
  <c r="N26"/>
  <c r="O26" s="1"/>
  <c r="N25"/>
  <c r="R25" s="1"/>
  <c r="N24"/>
  <c r="R24" s="1"/>
  <c r="N23"/>
  <c r="R23" s="1"/>
  <c r="N22"/>
  <c r="O22" s="1"/>
  <c r="N21"/>
  <c r="R21" s="1"/>
  <c r="N20"/>
  <c r="R20" s="1"/>
  <c r="N19"/>
  <c r="R19" s="1"/>
  <c r="N18"/>
  <c r="O18" s="1"/>
  <c r="N17"/>
  <c r="R17" s="1"/>
  <c r="N16"/>
  <c r="R16" s="1"/>
  <c r="N15"/>
  <c r="R15" s="1"/>
  <c r="N14"/>
  <c r="R14" s="1"/>
  <c r="N13"/>
  <c r="Q13" s="1"/>
  <c r="N12"/>
  <c r="R12" s="1"/>
  <c r="N11"/>
  <c r="P11" s="1"/>
  <c r="S31" i="121"/>
  <c r="M31"/>
  <c r="K31"/>
  <c r="N30"/>
  <c r="O30" s="1"/>
  <c r="N29"/>
  <c r="R29" s="1"/>
  <c r="N28"/>
  <c r="Q28" s="1"/>
  <c r="N27"/>
  <c r="Q27" s="1"/>
  <c r="N26"/>
  <c r="O26" s="1"/>
  <c r="N25"/>
  <c r="R25" s="1"/>
  <c r="N24"/>
  <c r="Q24" s="1"/>
  <c r="N23"/>
  <c r="Q23" s="1"/>
  <c r="N22"/>
  <c r="O22" s="1"/>
  <c r="N21"/>
  <c r="R21" s="1"/>
  <c r="N20"/>
  <c r="Q20" s="1"/>
  <c r="N19"/>
  <c r="Q19" s="1"/>
  <c r="N18"/>
  <c r="O18" s="1"/>
  <c r="N17"/>
  <c r="R17" s="1"/>
  <c r="N16"/>
  <c r="Q16" s="1"/>
  <c r="N15"/>
  <c r="O15" s="1"/>
  <c r="N14"/>
  <c r="R14" s="1"/>
  <c r="N13"/>
  <c r="Q13" s="1"/>
  <c r="N12"/>
  <c r="Q12" s="1"/>
  <c r="N11"/>
  <c r="Q11" s="1"/>
  <c r="W25" i="120"/>
  <c r="Q25"/>
  <c r="P25"/>
  <c r="O25"/>
  <c r="N25"/>
  <c r="M25"/>
  <c r="L25"/>
  <c r="K25"/>
  <c r="R24"/>
  <c r="R23"/>
  <c r="U23" s="1"/>
  <c r="R22"/>
  <c r="S22" s="1"/>
  <c r="R21"/>
  <c r="V21" s="1"/>
  <c r="R20"/>
  <c r="R19"/>
  <c r="S19" s="1"/>
  <c r="R18"/>
  <c r="V18" s="1"/>
  <c r="R17"/>
  <c r="S17" s="1"/>
  <c r="R16"/>
  <c r="V16" s="1"/>
  <c r="R15"/>
  <c r="V15" s="1"/>
  <c r="R14"/>
  <c r="U14" s="1"/>
  <c r="R13"/>
  <c r="S13" s="1"/>
  <c r="R12"/>
  <c r="S12" s="1"/>
  <c r="R11"/>
  <c r="V11" s="1"/>
  <c r="T29" i="129" l="1"/>
  <c r="U29" s="1"/>
  <c r="Q19" i="125"/>
  <c r="T20" i="127"/>
  <c r="U20" s="1"/>
  <c r="T26"/>
  <c r="U26" s="1"/>
  <c r="O23" i="122"/>
  <c r="T19" i="129"/>
  <c r="U19" s="1"/>
  <c r="T11"/>
  <c r="U11" s="1"/>
  <c r="Q12" i="123"/>
  <c r="O27"/>
  <c r="Q27" i="125"/>
  <c r="T15" i="127"/>
  <c r="U15" s="1"/>
  <c r="T15" i="129"/>
  <c r="U15" s="1"/>
  <c r="T29" i="127"/>
  <c r="U29" s="1"/>
  <c r="O14" i="121"/>
  <c r="O17"/>
  <c r="P27" i="122"/>
  <c r="O11" i="123"/>
  <c r="O20"/>
  <c r="P18" i="125"/>
  <c r="P26"/>
  <c r="T20" i="129"/>
  <c r="U20" s="1"/>
  <c r="P11" i="123"/>
  <c r="P20"/>
  <c r="O13" i="124"/>
  <c r="Q18" i="125"/>
  <c r="Q26"/>
  <c r="T22" i="129"/>
  <c r="U22" s="1"/>
  <c r="O15" i="122"/>
  <c r="Q20" i="123"/>
  <c r="T12" i="129"/>
  <c r="U12" s="1"/>
  <c r="T19" i="127"/>
  <c r="U19" s="1"/>
  <c r="T31" i="131"/>
  <c r="T32" s="1"/>
  <c r="O16" i="123"/>
  <c r="N30" i="124"/>
  <c r="O21"/>
  <c r="O25"/>
  <c r="Q29"/>
  <c r="O14" i="125"/>
  <c r="P15"/>
  <c r="O22"/>
  <c r="P23"/>
  <c r="T14" i="129"/>
  <c r="U14" s="1"/>
  <c r="P14" i="125"/>
  <c r="Q15"/>
  <c r="P22"/>
  <c r="Q23"/>
  <c r="T16" i="127"/>
  <c r="U16" s="1"/>
  <c r="T21"/>
  <c r="U21" s="1"/>
  <c r="Q30"/>
  <c r="T24" i="129"/>
  <c r="U24" s="1"/>
  <c r="U31" i="131"/>
  <c r="T21" i="129"/>
  <c r="U21" s="1"/>
  <c r="Q25" i="122"/>
  <c r="O11"/>
  <c r="P16"/>
  <c r="O19"/>
  <c r="O24"/>
  <c r="O19" i="123"/>
  <c r="O28"/>
  <c r="P14" i="124"/>
  <c r="O17"/>
  <c r="P21"/>
  <c r="Q25"/>
  <c r="P11" i="125"/>
  <c r="P19" i="122"/>
  <c r="P24"/>
  <c r="P12" i="123"/>
  <c r="P23"/>
  <c r="P28"/>
  <c r="P20" i="124"/>
  <c r="Q21"/>
  <c r="T21" s="1"/>
  <c r="U21" s="1"/>
  <c r="P28"/>
  <c r="Q11" i="125"/>
  <c r="Q14"/>
  <c r="O18"/>
  <c r="T18" s="1"/>
  <c r="U18" s="1"/>
  <c r="P19"/>
  <c r="Q22"/>
  <c r="O26"/>
  <c r="P27"/>
  <c r="T14" i="127"/>
  <c r="U14" s="1"/>
  <c r="T18"/>
  <c r="U18" s="1"/>
  <c r="T12"/>
  <c r="U12" s="1"/>
  <c r="T23" i="129"/>
  <c r="U23" s="1"/>
  <c r="T17" i="130"/>
  <c r="T18" s="1"/>
  <c r="U17"/>
  <c r="Q30" i="129"/>
  <c r="P30"/>
  <c r="T17"/>
  <c r="U17" s="1"/>
  <c r="T16"/>
  <c r="U16" s="1"/>
  <c r="T13"/>
  <c r="U13" s="1"/>
  <c r="T18"/>
  <c r="U18" s="1"/>
  <c r="T25"/>
  <c r="U25" s="1"/>
  <c r="R30"/>
  <c r="O30"/>
  <c r="T27"/>
  <c r="U27" s="1"/>
  <c r="T26"/>
  <c r="U26" s="1"/>
  <c r="T23" i="127"/>
  <c r="U23" s="1"/>
  <c r="R30"/>
  <c r="T22"/>
  <c r="U22" s="1"/>
  <c r="T25"/>
  <c r="U25" s="1"/>
  <c r="T27"/>
  <c r="U27" s="1"/>
  <c r="P30"/>
  <c r="O30"/>
  <c r="T11"/>
  <c r="T13"/>
  <c r="U13" s="1"/>
  <c r="Q17" i="125"/>
  <c r="P17"/>
  <c r="O17"/>
  <c r="R17"/>
  <c r="Q21"/>
  <c r="P21"/>
  <c r="O21"/>
  <c r="R21"/>
  <c r="Q25"/>
  <c r="P25"/>
  <c r="O25"/>
  <c r="R25"/>
  <c r="Q13"/>
  <c r="P13"/>
  <c r="O13"/>
  <c r="R29"/>
  <c r="R12"/>
  <c r="R16"/>
  <c r="R20"/>
  <c r="R24"/>
  <c r="R28"/>
  <c r="O29"/>
  <c r="N30"/>
  <c r="R11"/>
  <c r="O12"/>
  <c r="R15"/>
  <c r="O16"/>
  <c r="R19"/>
  <c r="O20"/>
  <c r="R23"/>
  <c r="O24"/>
  <c r="R27"/>
  <c r="O28"/>
  <c r="P29"/>
  <c r="P12"/>
  <c r="P16"/>
  <c r="P20"/>
  <c r="P24"/>
  <c r="P28"/>
  <c r="Q11" i="124"/>
  <c r="P13"/>
  <c r="Q14"/>
  <c r="O16"/>
  <c r="P17"/>
  <c r="O24"/>
  <c r="P25"/>
  <c r="P16"/>
  <c r="Q17"/>
  <c r="P24"/>
  <c r="O29"/>
  <c r="O14"/>
  <c r="O20"/>
  <c r="O28"/>
  <c r="P29"/>
  <c r="R12"/>
  <c r="R19"/>
  <c r="R23"/>
  <c r="R27"/>
  <c r="O12"/>
  <c r="R18"/>
  <c r="O19"/>
  <c r="R22"/>
  <c r="O23"/>
  <c r="R26"/>
  <c r="O27"/>
  <c r="O11"/>
  <c r="P12"/>
  <c r="Q13"/>
  <c r="O15"/>
  <c r="Q16"/>
  <c r="O18"/>
  <c r="P19"/>
  <c r="Q20"/>
  <c r="O22"/>
  <c r="P23"/>
  <c r="Q24"/>
  <c r="O26"/>
  <c r="P27"/>
  <c r="Q28"/>
  <c r="R11"/>
  <c r="R15"/>
  <c r="P11"/>
  <c r="P15"/>
  <c r="P18"/>
  <c r="P22"/>
  <c r="P26"/>
  <c r="Q26" i="121"/>
  <c r="N31" i="122"/>
  <c r="O12"/>
  <c r="P15"/>
  <c r="Q16"/>
  <c r="O20"/>
  <c r="Q21"/>
  <c r="P23"/>
  <c r="Q24"/>
  <c r="O28"/>
  <c r="Q29"/>
  <c r="O15" i="123"/>
  <c r="P16"/>
  <c r="P19"/>
  <c r="O24"/>
  <c r="P27"/>
  <c r="Q28"/>
  <c r="P18" i="121"/>
  <c r="P12" i="122"/>
  <c r="P20"/>
  <c r="O27"/>
  <c r="P28"/>
  <c r="O12" i="123"/>
  <c r="P15"/>
  <c r="Q16"/>
  <c r="T16" s="1"/>
  <c r="U16" s="1"/>
  <c r="R18"/>
  <c r="O23"/>
  <c r="P24"/>
  <c r="Q18" i="121"/>
  <c r="O25"/>
  <c r="Q12" i="122"/>
  <c r="O16"/>
  <c r="Q17"/>
  <c r="Q20"/>
  <c r="Q28"/>
  <c r="T28" s="1"/>
  <c r="U28" s="1"/>
  <c r="Q24" i="123"/>
  <c r="O14"/>
  <c r="R17"/>
  <c r="O22"/>
  <c r="Q11"/>
  <c r="O13"/>
  <c r="P14"/>
  <c r="Q15"/>
  <c r="O17"/>
  <c r="P18"/>
  <c r="Q19"/>
  <c r="O21"/>
  <c r="P22"/>
  <c r="Q23"/>
  <c r="O25"/>
  <c r="P26"/>
  <c r="Q27"/>
  <c r="O29"/>
  <c r="P30"/>
  <c r="R13"/>
  <c r="O18"/>
  <c r="R21"/>
  <c r="R25"/>
  <c r="O26"/>
  <c r="R29"/>
  <c r="O30"/>
  <c r="N31"/>
  <c r="P13"/>
  <c r="Q14"/>
  <c r="P17"/>
  <c r="P21"/>
  <c r="Q22"/>
  <c r="P25"/>
  <c r="Q26"/>
  <c r="P29"/>
  <c r="Q30"/>
  <c r="O14" i="122"/>
  <c r="Q11"/>
  <c r="O13"/>
  <c r="P14"/>
  <c r="Q15"/>
  <c r="O17"/>
  <c r="P18"/>
  <c r="Q19"/>
  <c r="O21"/>
  <c r="P22"/>
  <c r="Q23"/>
  <c r="O25"/>
  <c r="P26"/>
  <c r="Q27"/>
  <c r="T27" s="1"/>
  <c r="U27" s="1"/>
  <c r="O29"/>
  <c r="P30"/>
  <c r="R22"/>
  <c r="R26"/>
  <c r="R13"/>
  <c r="R11"/>
  <c r="P13"/>
  <c r="Q14"/>
  <c r="P17"/>
  <c r="Q18"/>
  <c r="P21"/>
  <c r="Q22"/>
  <c r="P25"/>
  <c r="Q26"/>
  <c r="P29"/>
  <c r="Q30"/>
  <c r="R18"/>
  <c r="R30"/>
  <c r="U16" i="120"/>
  <c r="P15" i="121"/>
  <c r="P17"/>
  <c r="P25"/>
  <c r="N31"/>
  <c r="P14"/>
  <c r="Q15"/>
  <c r="O29"/>
  <c r="P30"/>
  <c r="Q21"/>
  <c r="P21"/>
  <c r="Q22"/>
  <c r="P26"/>
  <c r="Q29"/>
  <c r="P11"/>
  <c r="Q14"/>
  <c r="Q17"/>
  <c r="O21"/>
  <c r="P22"/>
  <c r="P29"/>
  <c r="Q30"/>
  <c r="R13"/>
  <c r="R16"/>
  <c r="O13"/>
  <c r="O20"/>
  <c r="O24"/>
  <c r="R11"/>
  <c r="O12"/>
  <c r="P13"/>
  <c r="R15"/>
  <c r="P16"/>
  <c r="R18"/>
  <c r="O19"/>
  <c r="P20"/>
  <c r="R22"/>
  <c r="O23"/>
  <c r="P24"/>
  <c r="Q25"/>
  <c r="R26"/>
  <c r="O27"/>
  <c r="P28"/>
  <c r="R30"/>
  <c r="R20"/>
  <c r="R24"/>
  <c r="R28"/>
  <c r="R12"/>
  <c r="O16"/>
  <c r="T16" s="1"/>
  <c r="U16" s="1"/>
  <c r="R19"/>
  <c r="R23"/>
  <c r="R27"/>
  <c r="O28"/>
  <c r="O11"/>
  <c r="P12"/>
  <c r="P19"/>
  <c r="P23"/>
  <c r="P27"/>
  <c r="U17" i="120"/>
  <c r="T16"/>
  <c r="S16"/>
  <c r="T17"/>
  <c r="U22"/>
  <c r="T21"/>
  <c r="U13"/>
  <c r="T22"/>
  <c r="T12"/>
  <c r="S18"/>
  <c r="T19"/>
  <c r="U21"/>
  <c r="U12"/>
  <c r="T18"/>
  <c r="U19"/>
  <c r="S11"/>
  <c r="T13"/>
  <c r="U18"/>
  <c r="S21"/>
  <c r="U20"/>
  <c r="T20"/>
  <c r="S20"/>
  <c r="V20"/>
  <c r="U24"/>
  <c r="T24"/>
  <c r="S24"/>
  <c r="U15"/>
  <c r="T15"/>
  <c r="S15"/>
  <c r="V24"/>
  <c r="U11"/>
  <c r="R25"/>
  <c r="T11"/>
  <c r="V14"/>
  <c r="V23"/>
  <c r="V12"/>
  <c r="V13"/>
  <c r="S14"/>
  <c r="V17"/>
  <c r="V19"/>
  <c r="V22"/>
  <c r="S23"/>
  <c r="T14"/>
  <c r="T23"/>
  <c r="T19" i="122" l="1"/>
  <c r="U19" s="1"/>
  <c r="T12" i="123"/>
  <c r="U12" s="1"/>
  <c r="T26" i="125"/>
  <c r="U26" s="1"/>
  <c r="T19"/>
  <c r="U19" s="1"/>
  <c r="X19" s="1"/>
  <c r="T11"/>
  <c r="T28" i="123"/>
  <c r="U28" s="1"/>
  <c r="T28" i="125"/>
  <c r="U28" s="1"/>
  <c r="T24" i="122"/>
  <c r="U24" s="1"/>
  <c r="T20"/>
  <c r="U20" s="1"/>
  <c r="T20" i="123"/>
  <c r="U20" s="1"/>
  <c r="T18" i="121"/>
  <c r="U18" s="1"/>
  <c r="T23" i="122"/>
  <c r="U23" s="1"/>
  <c r="T14" i="124"/>
  <c r="U14" s="1"/>
  <c r="T30" i="121"/>
  <c r="U30" s="1"/>
  <c r="T15" i="123"/>
  <c r="U15" s="1"/>
  <c r="T29" i="124"/>
  <c r="U29" s="1"/>
  <c r="T25"/>
  <c r="U25" s="1"/>
  <c r="T23" i="125"/>
  <c r="U23" s="1"/>
  <c r="T19" i="123"/>
  <c r="U19" s="1"/>
  <c r="T15" i="125"/>
  <c r="U15" s="1"/>
  <c r="T22"/>
  <c r="U22" s="1"/>
  <c r="T27"/>
  <c r="U27" s="1"/>
  <c r="T16" i="122"/>
  <c r="U16" s="1"/>
  <c r="T14" i="125"/>
  <c r="U14" s="1"/>
  <c r="T25" i="121"/>
  <c r="U25" s="1"/>
  <c r="T14"/>
  <c r="U14" s="1"/>
  <c r="T26" i="123"/>
  <c r="U26" s="1"/>
  <c r="T20" i="124"/>
  <c r="U20" s="1"/>
  <c r="T17"/>
  <c r="U17" s="1"/>
  <c r="P31" i="123"/>
  <c r="R31"/>
  <c r="T24"/>
  <c r="U24" s="1"/>
  <c r="T28" i="124"/>
  <c r="U28" s="1"/>
  <c r="T17" i="125"/>
  <c r="U17" s="1"/>
  <c r="T12" i="122"/>
  <c r="U12" s="1"/>
  <c r="T22" i="124"/>
  <c r="U22" s="1"/>
  <c r="T16"/>
  <c r="U16" s="1"/>
  <c r="P30" i="125"/>
  <c r="T16"/>
  <c r="U16" s="1"/>
  <c r="Q30"/>
  <c r="U30" i="129"/>
  <c r="T30"/>
  <c r="T31" s="1"/>
  <c r="T30" i="127"/>
  <c r="T31" s="1"/>
  <c r="U11"/>
  <c r="U30" s="1"/>
  <c r="U11" i="125"/>
  <c r="T24"/>
  <c r="U24" s="1"/>
  <c r="T29"/>
  <c r="U29" s="1"/>
  <c r="O30"/>
  <c r="T20"/>
  <c r="U20" s="1"/>
  <c r="T12"/>
  <c r="U12" s="1"/>
  <c r="T25"/>
  <c r="U25" s="1"/>
  <c r="R30"/>
  <c r="T13"/>
  <c r="U13" s="1"/>
  <c r="T21"/>
  <c r="U21" s="1"/>
  <c r="T24" i="124"/>
  <c r="U24" s="1"/>
  <c r="Q30"/>
  <c r="R30"/>
  <c r="T23"/>
  <c r="U23" s="1"/>
  <c r="T26"/>
  <c r="U26" s="1"/>
  <c r="T18"/>
  <c r="U18" s="1"/>
  <c r="T15"/>
  <c r="U15" s="1"/>
  <c r="T11"/>
  <c r="O30"/>
  <c r="T12"/>
  <c r="U12" s="1"/>
  <c r="P30"/>
  <c r="T27"/>
  <c r="U27" s="1"/>
  <c r="T19"/>
  <c r="U19" s="1"/>
  <c r="T13"/>
  <c r="U13" s="1"/>
  <c r="P31" i="122"/>
  <c r="T26"/>
  <c r="U26" s="1"/>
  <c r="T15"/>
  <c r="U15" s="1"/>
  <c r="T23" i="123"/>
  <c r="U23" s="1"/>
  <c r="O31" i="122"/>
  <c r="T18" i="123"/>
  <c r="U18" s="1"/>
  <c r="T27"/>
  <c r="U27" s="1"/>
  <c r="T17"/>
  <c r="U17" s="1"/>
  <c r="Q31"/>
  <c r="T22"/>
  <c r="U22" s="1"/>
  <c r="T30"/>
  <c r="U30" s="1"/>
  <c r="T11"/>
  <c r="T29"/>
  <c r="U29" s="1"/>
  <c r="T25"/>
  <c r="U25" s="1"/>
  <c r="T21"/>
  <c r="U21" s="1"/>
  <c r="T13"/>
  <c r="U13" s="1"/>
  <c r="T14"/>
  <c r="U14" s="1"/>
  <c r="O31"/>
  <c r="T14" i="122"/>
  <c r="U14" s="1"/>
  <c r="X16" i="120"/>
  <c r="Y16" s="1"/>
  <c r="T28" i="121"/>
  <c r="U28" s="1"/>
  <c r="T18" i="122"/>
  <c r="U18" s="1"/>
  <c r="T30"/>
  <c r="U30" s="1"/>
  <c r="T22"/>
  <c r="U22" s="1"/>
  <c r="Q31"/>
  <c r="R31"/>
  <c r="T11"/>
  <c r="T29"/>
  <c r="U29" s="1"/>
  <c r="T25"/>
  <c r="U25" s="1"/>
  <c r="T21"/>
  <c r="U21" s="1"/>
  <c r="T17"/>
  <c r="U17" s="1"/>
  <c r="T13"/>
  <c r="U13" s="1"/>
  <c r="T15" i="121"/>
  <c r="U15" s="1"/>
  <c r="Q31"/>
  <c r="T23"/>
  <c r="U23" s="1"/>
  <c r="T29"/>
  <c r="U29" s="1"/>
  <c r="T27"/>
  <c r="U27" s="1"/>
  <c r="T17"/>
  <c r="U17" s="1"/>
  <c r="P31"/>
  <c r="T26"/>
  <c r="U26" s="1"/>
  <c r="T22"/>
  <c r="U22" s="1"/>
  <c r="T21"/>
  <c r="U21" s="1"/>
  <c r="R31"/>
  <c r="T13"/>
  <c r="U13" s="1"/>
  <c r="T20"/>
  <c r="U20" s="1"/>
  <c r="T19"/>
  <c r="U19" s="1"/>
  <c r="T12"/>
  <c r="U12" s="1"/>
  <c r="T11"/>
  <c r="O31"/>
  <c r="T24"/>
  <c r="U24" s="1"/>
  <c r="X17" i="120"/>
  <c r="Y17" s="1"/>
  <c r="X19"/>
  <c r="Y19" s="1"/>
  <c r="X12"/>
  <c r="Y12" s="1"/>
  <c r="X13"/>
  <c r="Y13" s="1"/>
  <c r="X21"/>
  <c r="Y21" s="1"/>
  <c r="X22"/>
  <c r="Y22" s="1"/>
  <c r="X18"/>
  <c r="Y18" s="1"/>
  <c r="V25"/>
  <c r="U25"/>
  <c r="X20"/>
  <c r="Y20" s="1"/>
  <c r="X23"/>
  <c r="Y23" s="1"/>
  <c r="T25"/>
  <c r="X24"/>
  <c r="Y24" s="1"/>
  <c r="X11"/>
  <c r="X14"/>
  <c r="Y14" s="1"/>
  <c r="X15"/>
  <c r="Y15" s="1"/>
  <c r="S25"/>
  <c r="U30" i="125" l="1"/>
  <c r="T30"/>
  <c r="T31" s="1"/>
  <c r="T30" i="124"/>
  <c r="T31" s="1"/>
  <c r="U11"/>
  <c r="U30" s="1"/>
  <c r="T31" i="123"/>
  <c r="T32" s="1"/>
  <c r="U11"/>
  <c r="U31" s="1"/>
  <c r="T31" i="122"/>
  <c r="T32" s="1"/>
  <c r="U11"/>
  <c r="U31" s="1"/>
  <c r="T31" i="121"/>
  <c r="T32" s="1"/>
  <c r="U11"/>
  <c r="U31" s="1"/>
  <c r="X25" i="120"/>
  <c r="X26" s="1"/>
  <c r="Y11"/>
  <c r="Y25" s="1"/>
  <c r="S32" i="119" l="1"/>
  <c r="M32"/>
  <c r="K32"/>
  <c r="N31"/>
  <c r="O31" s="1"/>
  <c r="N30"/>
  <c r="O30" s="1"/>
  <c r="N29"/>
  <c r="R29" s="1"/>
  <c r="N28"/>
  <c r="Q28" s="1"/>
  <c r="N27"/>
  <c r="O27" s="1"/>
  <c r="N26"/>
  <c r="O26" s="1"/>
  <c r="N25"/>
  <c r="R25" s="1"/>
  <c r="N24"/>
  <c r="Q24" s="1"/>
  <c r="N23"/>
  <c r="O23" s="1"/>
  <c r="N22"/>
  <c r="O22" s="1"/>
  <c r="N21"/>
  <c r="R21" s="1"/>
  <c r="N20"/>
  <c r="Q20" s="1"/>
  <c r="N19"/>
  <c r="O19" s="1"/>
  <c r="N18"/>
  <c r="O18" s="1"/>
  <c r="N17"/>
  <c r="R17" s="1"/>
  <c r="N16"/>
  <c r="Q16" s="1"/>
  <c r="N15"/>
  <c r="Q15" s="1"/>
  <c r="N14"/>
  <c r="O14" s="1"/>
  <c r="N13"/>
  <c r="R13" s="1"/>
  <c r="N12"/>
  <c r="Q12" s="1"/>
  <c r="N11"/>
  <c r="O11" s="1"/>
  <c r="Q32" i="118"/>
  <c r="O32"/>
  <c r="N32"/>
  <c r="L32"/>
  <c r="M32"/>
  <c r="R31"/>
  <c r="R30"/>
  <c r="Q23" i="119" l="1"/>
  <c r="O15"/>
  <c r="O25"/>
  <c r="Q31"/>
  <c r="O29"/>
  <c r="Q29"/>
  <c r="Q27"/>
  <c r="Q25"/>
  <c r="Q21"/>
  <c r="O21"/>
  <c r="Q19"/>
  <c r="Q17"/>
  <c r="O17"/>
  <c r="Q13"/>
  <c r="O13"/>
  <c r="Q11"/>
  <c r="R14"/>
  <c r="R18"/>
  <c r="P24"/>
  <c r="R26"/>
  <c r="P28"/>
  <c r="R30"/>
  <c r="N32"/>
  <c r="P12"/>
  <c r="P16"/>
  <c r="P20"/>
  <c r="R22"/>
  <c r="R11"/>
  <c r="O12"/>
  <c r="P13"/>
  <c r="Q14"/>
  <c r="R15"/>
  <c r="O16"/>
  <c r="P17"/>
  <c r="Q18"/>
  <c r="R19"/>
  <c r="O20"/>
  <c r="P21"/>
  <c r="Q22"/>
  <c r="R23"/>
  <c r="O24"/>
  <c r="P25"/>
  <c r="Q26"/>
  <c r="R27"/>
  <c r="O28"/>
  <c r="P29"/>
  <c r="Q30"/>
  <c r="R31"/>
  <c r="R12"/>
  <c r="P14"/>
  <c r="P22"/>
  <c r="T22" s="1"/>
  <c r="U22" s="1"/>
  <c r="R24"/>
  <c r="P26"/>
  <c r="R28"/>
  <c r="P30"/>
  <c r="T30" s="1"/>
  <c r="U30" s="1"/>
  <c r="R16"/>
  <c r="P18"/>
  <c r="R20"/>
  <c r="P11"/>
  <c r="P15"/>
  <c r="P19"/>
  <c r="P23"/>
  <c r="P27"/>
  <c r="P31"/>
  <c r="T31" s="1"/>
  <c r="U31" s="1"/>
  <c r="R29" i="118"/>
  <c r="R28"/>
  <c r="R26"/>
  <c r="R27"/>
  <c r="R25"/>
  <c r="R22"/>
  <c r="R23"/>
  <c r="R24"/>
  <c r="R21"/>
  <c r="R20"/>
  <c r="R19"/>
  <c r="R18"/>
  <c r="R17"/>
  <c r="R16"/>
  <c r="R15"/>
  <c r="R14"/>
  <c r="R12"/>
  <c r="R13"/>
  <c r="R11"/>
  <c r="T15" i="119" l="1"/>
  <c r="U15" s="1"/>
  <c r="T26"/>
  <c r="U26" s="1"/>
  <c r="T27"/>
  <c r="U27" s="1"/>
  <c r="T23"/>
  <c r="U23" s="1"/>
  <c r="T14"/>
  <c r="U14" s="1"/>
  <c r="T29"/>
  <c r="U29" s="1"/>
  <c r="T13"/>
  <c r="U13" s="1"/>
  <c r="T21"/>
  <c r="U21" s="1"/>
  <c r="T25"/>
  <c r="U25" s="1"/>
  <c r="T24"/>
  <c r="U24" s="1"/>
  <c r="T19"/>
  <c r="U19" s="1"/>
  <c r="Q32"/>
  <c r="T18"/>
  <c r="U18" s="1"/>
  <c r="T17"/>
  <c r="U17" s="1"/>
  <c r="P32"/>
  <c r="T28"/>
  <c r="U28" s="1"/>
  <c r="T12"/>
  <c r="U12" s="1"/>
  <c r="T16"/>
  <c r="U16" s="1"/>
  <c r="T20"/>
  <c r="U20" s="1"/>
  <c r="T11"/>
  <c r="R32"/>
  <c r="O32"/>
  <c r="T32" l="1"/>
  <c r="T33" s="1"/>
  <c r="U11"/>
  <c r="U32" s="1"/>
  <c r="W32" i="118" l="1"/>
  <c r="P32"/>
  <c r="K32"/>
  <c r="S31"/>
  <c r="S30"/>
  <c r="U29"/>
  <c r="S29"/>
  <c r="V29"/>
  <c r="U28"/>
  <c r="U27"/>
  <c r="T26"/>
  <c r="S26"/>
  <c r="S25"/>
  <c r="V25"/>
  <c r="U24"/>
  <c r="S23"/>
  <c r="S22"/>
  <c r="V21"/>
  <c r="U20"/>
  <c r="U19"/>
  <c r="T18"/>
  <c r="S18"/>
  <c r="T17"/>
  <c r="S17"/>
  <c r="V17"/>
  <c r="U16"/>
  <c r="U15"/>
  <c r="S15"/>
  <c r="S14"/>
  <c r="V13"/>
  <c r="U12"/>
  <c r="U11"/>
  <c r="S11" l="1"/>
  <c r="S13"/>
  <c r="T14"/>
  <c r="U17"/>
  <c r="X17" s="1"/>
  <c r="Y17" s="1"/>
  <c r="S19"/>
  <c r="S21"/>
  <c r="T22"/>
  <c r="U25"/>
  <c r="S27"/>
  <c r="T30"/>
  <c r="U23"/>
  <c r="T25"/>
  <c r="X25" s="1"/>
  <c r="Y25" s="1"/>
  <c r="U31"/>
  <c r="U13"/>
  <c r="U21"/>
  <c r="T13"/>
  <c r="T21"/>
  <c r="T29"/>
  <c r="X29" s="1"/>
  <c r="Y29" s="1"/>
  <c r="V12"/>
  <c r="T12"/>
  <c r="V14"/>
  <c r="T16"/>
  <c r="T20"/>
  <c r="V22"/>
  <c r="T24"/>
  <c r="V26"/>
  <c r="T28"/>
  <c r="V30"/>
  <c r="R32"/>
  <c r="V18"/>
  <c r="V11"/>
  <c r="S12"/>
  <c r="U14"/>
  <c r="V15"/>
  <c r="S16"/>
  <c r="U18"/>
  <c r="V19"/>
  <c r="S20"/>
  <c r="U22"/>
  <c r="V23"/>
  <c r="S24"/>
  <c r="U26"/>
  <c r="X26" s="1"/>
  <c r="Y26" s="1"/>
  <c r="V27"/>
  <c r="S28"/>
  <c r="U30"/>
  <c r="V31"/>
  <c r="V24"/>
  <c r="V16"/>
  <c r="V20"/>
  <c r="V28"/>
  <c r="T11"/>
  <c r="T15"/>
  <c r="T19"/>
  <c r="X19" s="1"/>
  <c r="Y19" s="1"/>
  <c r="T23"/>
  <c r="T27"/>
  <c r="T31"/>
  <c r="S32" i="117"/>
  <c r="M32"/>
  <c r="K32"/>
  <c r="N31"/>
  <c r="R31" s="1"/>
  <c r="N30"/>
  <c r="Q30" s="1"/>
  <c r="N29"/>
  <c r="Q29" s="1"/>
  <c r="N28"/>
  <c r="R28" s="1"/>
  <c r="N27"/>
  <c r="R27" s="1"/>
  <c r="N26"/>
  <c r="Q26" s="1"/>
  <c r="N25"/>
  <c r="Q25" s="1"/>
  <c r="N24"/>
  <c r="R24" s="1"/>
  <c r="N23"/>
  <c r="R23" s="1"/>
  <c r="N22"/>
  <c r="Q22" s="1"/>
  <c r="N21"/>
  <c r="Q21" s="1"/>
  <c r="N20"/>
  <c r="R20" s="1"/>
  <c r="N19"/>
  <c r="R19" s="1"/>
  <c r="N18"/>
  <c r="Q18" s="1"/>
  <c r="N17"/>
  <c r="Q17" s="1"/>
  <c r="N16"/>
  <c r="R16" s="1"/>
  <c r="N15"/>
  <c r="R15" s="1"/>
  <c r="N14"/>
  <c r="Q14" s="1"/>
  <c r="N13"/>
  <c r="Q13" s="1"/>
  <c r="N12"/>
  <c r="R12" s="1"/>
  <c r="N11"/>
  <c r="R11" s="1"/>
  <c r="S32" i="115"/>
  <c r="K32"/>
  <c r="N30"/>
  <c r="O30" s="1"/>
  <c r="N31"/>
  <c r="Q31" s="1"/>
  <c r="N23"/>
  <c r="O23" s="1"/>
  <c r="N16"/>
  <c r="R16" s="1"/>
  <c r="M32"/>
  <c r="N29"/>
  <c r="O29" s="1"/>
  <c r="N28"/>
  <c r="R28" s="1"/>
  <c r="N27"/>
  <c r="O27" s="1"/>
  <c r="N26"/>
  <c r="R26" s="1"/>
  <c r="N25"/>
  <c r="R25" s="1"/>
  <c r="N24"/>
  <c r="Q24" s="1"/>
  <c r="N22"/>
  <c r="O22" s="1"/>
  <c r="N21"/>
  <c r="R21" s="1"/>
  <c r="N20"/>
  <c r="O20" s="1"/>
  <c r="N19"/>
  <c r="Q19" s="1"/>
  <c r="N18"/>
  <c r="O18" s="1"/>
  <c r="N17"/>
  <c r="R17" s="1"/>
  <c r="N15"/>
  <c r="O15" s="1"/>
  <c r="N14"/>
  <c r="Q14" s="1"/>
  <c r="N13"/>
  <c r="O13" s="1"/>
  <c r="N12"/>
  <c r="R12" s="1"/>
  <c r="N11"/>
  <c r="K28" i="114"/>
  <c r="Q20" i="117" l="1"/>
  <c r="X30" i="118"/>
  <c r="Y30" s="1"/>
  <c r="P19" i="117"/>
  <c r="O19"/>
  <c r="X23" i="118"/>
  <c r="Y23" s="1"/>
  <c r="X14"/>
  <c r="Y14" s="1"/>
  <c r="O16" i="115"/>
  <c r="P12" i="117"/>
  <c r="O24"/>
  <c r="Q30" i="115"/>
  <c r="O11" i="117"/>
  <c r="Q12"/>
  <c r="O27"/>
  <c r="P23" i="115"/>
  <c r="P11" i="117"/>
  <c r="O16"/>
  <c r="P20"/>
  <c r="P27"/>
  <c r="P28"/>
  <c r="Q28"/>
  <c r="Q16" i="115"/>
  <c r="O15" i="117"/>
  <c r="P16"/>
  <c r="O23"/>
  <c r="P24"/>
  <c r="O31"/>
  <c r="X21" i="118"/>
  <c r="Y21" s="1"/>
  <c r="P12" i="115"/>
  <c r="P21"/>
  <c r="O12" i="117"/>
  <c r="P15"/>
  <c r="Q16"/>
  <c r="O20"/>
  <c r="T20" s="1"/>
  <c r="U20" s="1"/>
  <c r="P23"/>
  <c r="Q24"/>
  <c r="O28"/>
  <c r="T28" s="1"/>
  <c r="U28" s="1"/>
  <c r="P31"/>
  <c r="X31" i="118"/>
  <c r="Y31" s="1"/>
  <c r="X15"/>
  <c r="Y15" s="1"/>
  <c r="X18"/>
  <c r="Y18" s="1"/>
  <c r="X22"/>
  <c r="Y22" s="1"/>
  <c r="X16"/>
  <c r="Y16" s="1"/>
  <c r="X13"/>
  <c r="Y13" s="1"/>
  <c r="X27"/>
  <c r="Y27" s="1"/>
  <c r="X20"/>
  <c r="Y20" s="1"/>
  <c r="U32"/>
  <c r="T32"/>
  <c r="V32"/>
  <c r="X11"/>
  <c r="S32"/>
  <c r="X28"/>
  <c r="Y28" s="1"/>
  <c r="X12"/>
  <c r="Y12" s="1"/>
  <c r="X24"/>
  <c r="Y24" s="1"/>
  <c r="R18" i="117"/>
  <c r="R22"/>
  <c r="R30"/>
  <c r="N32"/>
  <c r="R13"/>
  <c r="R17"/>
  <c r="O26"/>
  <c r="R29"/>
  <c r="Q11"/>
  <c r="O13"/>
  <c r="P14"/>
  <c r="Q15"/>
  <c r="O17"/>
  <c r="P18"/>
  <c r="Q19"/>
  <c r="O21"/>
  <c r="P22"/>
  <c r="Q23"/>
  <c r="O25"/>
  <c r="P26"/>
  <c r="Q27"/>
  <c r="O29"/>
  <c r="P30"/>
  <c r="Q31"/>
  <c r="R14"/>
  <c r="R26"/>
  <c r="O14"/>
  <c r="O18"/>
  <c r="R21"/>
  <c r="O22"/>
  <c r="R25"/>
  <c r="O30"/>
  <c r="P13"/>
  <c r="P17"/>
  <c r="P21"/>
  <c r="P25"/>
  <c r="P29"/>
  <c r="N32" i="115"/>
  <c r="P16"/>
  <c r="Q23"/>
  <c r="P31"/>
  <c r="R31"/>
  <c r="R23"/>
  <c r="P30"/>
  <c r="R30"/>
  <c r="O31"/>
  <c r="Q28"/>
  <c r="Q13"/>
  <c r="P22"/>
  <c r="Q22"/>
  <c r="Q12"/>
  <c r="O17"/>
  <c r="P18"/>
  <c r="Q21"/>
  <c r="O26"/>
  <c r="P27"/>
  <c r="P17"/>
  <c r="Q18"/>
  <c r="P26"/>
  <c r="Q27"/>
  <c r="O12"/>
  <c r="P13"/>
  <c r="Q17"/>
  <c r="O21"/>
  <c r="Q26"/>
  <c r="R11"/>
  <c r="R20"/>
  <c r="R14"/>
  <c r="R19"/>
  <c r="R24"/>
  <c r="O25"/>
  <c r="P11"/>
  <c r="R13"/>
  <c r="O14"/>
  <c r="P15"/>
  <c r="R18"/>
  <c r="O19"/>
  <c r="P20"/>
  <c r="R22"/>
  <c r="O24"/>
  <c r="P25"/>
  <c r="R27"/>
  <c r="O28"/>
  <c r="P29"/>
  <c r="Q11"/>
  <c r="P14"/>
  <c r="Q15"/>
  <c r="P19"/>
  <c r="Q20"/>
  <c r="P24"/>
  <c r="Q25"/>
  <c r="P28"/>
  <c r="Q29"/>
  <c r="R15"/>
  <c r="R29"/>
  <c r="O11"/>
  <c r="N27" i="114"/>
  <c r="R27" s="1"/>
  <c r="N24"/>
  <c r="R24" s="1"/>
  <c r="N25"/>
  <c r="R25" s="1"/>
  <c r="N26"/>
  <c r="N21"/>
  <c r="P21" s="1"/>
  <c r="N16"/>
  <c r="Q16" s="1"/>
  <c r="N17"/>
  <c r="Q17" s="1"/>
  <c r="N11"/>
  <c r="N12"/>
  <c r="R12" s="1"/>
  <c r="N13"/>
  <c r="Q13" s="1"/>
  <c r="S28"/>
  <c r="M28"/>
  <c r="N23"/>
  <c r="R23" s="1"/>
  <c r="N22"/>
  <c r="Q22" s="1"/>
  <c r="N20"/>
  <c r="R20" s="1"/>
  <c r="N19"/>
  <c r="R19" s="1"/>
  <c r="N18"/>
  <c r="Q18" s="1"/>
  <c r="N15"/>
  <c r="O15" s="1"/>
  <c r="N14"/>
  <c r="O14" s="1"/>
  <c r="T11" i="117" l="1"/>
  <c r="T16"/>
  <c r="U16" s="1"/>
  <c r="T12"/>
  <c r="U12" s="1"/>
  <c r="T18"/>
  <c r="U18" s="1"/>
  <c r="T31" i="115"/>
  <c r="U31" s="1"/>
  <c r="T24" i="117"/>
  <c r="U24" s="1"/>
  <c r="T27" i="115"/>
  <c r="U27" s="1"/>
  <c r="T19" i="117"/>
  <c r="U19" s="1"/>
  <c r="T16" i="115"/>
  <c r="U16" s="1"/>
  <c r="T31" i="117"/>
  <c r="U31" s="1"/>
  <c r="T15"/>
  <c r="U15" s="1"/>
  <c r="T30" i="115"/>
  <c r="U30" s="1"/>
  <c r="T23"/>
  <c r="U23" s="1"/>
  <c r="T23" i="117"/>
  <c r="U23" s="1"/>
  <c r="T27"/>
  <c r="U27" s="1"/>
  <c r="T21"/>
  <c r="U21" s="1"/>
  <c r="P32"/>
  <c r="R32"/>
  <c r="T29"/>
  <c r="U29" s="1"/>
  <c r="T17" i="115"/>
  <c r="U17" s="1"/>
  <c r="T30" i="117"/>
  <c r="U30" s="1"/>
  <c r="T17"/>
  <c r="U17" s="1"/>
  <c r="X32" i="118"/>
  <c r="X33" s="1"/>
  <c r="Y11"/>
  <c r="Y32" s="1"/>
  <c r="U11" i="117"/>
  <c r="T25"/>
  <c r="U25" s="1"/>
  <c r="T14"/>
  <c r="U14" s="1"/>
  <c r="Q32"/>
  <c r="T13"/>
  <c r="U13" s="1"/>
  <c r="T22"/>
  <c r="U22" s="1"/>
  <c r="T26"/>
  <c r="U26" s="1"/>
  <c r="O32"/>
  <c r="P27" i="114"/>
  <c r="Q32" i="115"/>
  <c r="R32"/>
  <c r="O32"/>
  <c r="P32"/>
  <c r="T26"/>
  <c r="U26" s="1"/>
  <c r="T18"/>
  <c r="U18" s="1"/>
  <c r="T22"/>
  <c r="U22" s="1"/>
  <c r="T15"/>
  <c r="U15" s="1"/>
  <c r="T28"/>
  <c r="U28" s="1"/>
  <c r="T25"/>
  <c r="U25" s="1"/>
  <c r="T20"/>
  <c r="U20" s="1"/>
  <c r="T12"/>
  <c r="U12" s="1"/>
  <c r="T29"/>
  <c r="U29" s="1"/>
  <c r="T19"/>
  <c r="U19" s="1"/>
  <c r="T13"/>
  <c r="U13" s="1"/>
  <c r="T21"/>
  <c r="U21" s="1"/>
  <c r="T24"/>
  <c r="U24" s="1"/>
  <c r="T11"/>
  <c r="T14"/>
  <c r="U14" s="1"/>
  <c r="P25" i="114"/>
  <c r="O25"/>
  <c r="Q25"/>
  <c r="O27"/>
  <c r="Q27"/>
  <c r="Q11"/>
  <c r="N28"/>
  <c r="R26"/>
  <c r="O24"/>
  <c r="P24"/>
  <c r="Q24"/>
  <c r="O26"/>
  <c r="P26"/>
  <c r="Q26"/>
  <c r="O21"/>
  <c r="Q21"/>
  <c r="R21"/>
  <c r="P16"/>
  <c r="O16"/>
  <c r="P22"/>
  <c r="O22"/>
  <c r="R16"/>
  <c r="P17"/>
  <c r="R17"/>
  <c r="O17"/>
  <c r="P18"/>
  <c r="Q23"/>
  <c r="P11"/>
  <c r="O18"/>
  <c r="Q19"/>
  <c r="P23"/>
  <c r="O11"/>
  <c r="P19"/>
  <c r="R11"/>
  <c r="P13"/>
  <c r="R13"/>
  <c r="O13"/>
  <c r="Q12"/>
  <c r="O12"/>
  <c r="P12"/>
  <c r="Q15"/>
  <c r="R18"/>
  <c r="O19"/>
  <c r="P20"/>
  <c r="R22"/>
  <c r="O23"/>
  <c r="R14"/>
  <c r="R15"/>
  <c r="Q20"/>
  <c r="Q14"/>
  <c r="P14"/>
  <c r="P15"/>
  <c r="O20"/>
  <c r="N14" i="112"/>
  <c r="Q14" s="1"/>
  <c r="T32" i="117" l="1"/>
  <c r="T33" s="1"/>
  <c r="U32"/>
  <c r="T32" i="115"/>
  <c r="T33" s="1"/>
  <c r="T25" i="114"/>
  <c r="U25" s="1"/>
  <c r="U11" i="115"/>
  <c r="U32" s="1"/>
  <c r="R14" i="112"/>
  <c r="O14"/>
  <c r="T27" i="114"/>
  <c r="U27" s="1"/>
  <c r="P14" i="112"/>
  <c r="R28" i="114"/>
  <c r="T19"/>
  <c r="U19" s="1"/>
  <c r="T12"/>
  <c r="U12" s="1"/>
  <c r="O28"/>
  <c r="P28"/>
  <c r="T26"/>
  <c r="U26" s="1"/>
  <c r="T24"/>
  <c r="U24" s="1"/>
  <c r="T13"/>
  <c r="U13" s="1"/>
  <c r="Q28"/>
  <c r="T16"/>
  <c r="U16" s="1"/>
  <c r="T21"/>
  <c r="U21" s="1"/>
  <c r="T23"/>
  <c r="U23" s="1"/>
  <c r="T15"/>
  <c r="U15" s="1"/>
  <c r="T22"/>
  <c r="U22" s="1"/>
  <c r="T17"/>
  <c r="U17" s="1"/>
  <c r="T20"/>
  <c r="U20" s="1"/>
  <c r="T14"/>
  <c r="U14" s="1"/>
  <c r="T18"/>
  <c r="U18" s="1"/>
  <c r="T11"/>
  <c r="S20" i="112"/>
  <c r="M20"/>
  <c r="K20"/>
  <c r="N19"/>
  <c r="R19" s="1"/>
  <c r="I19"/>
  <c r="N18"/>
  <c r="R18" s="1"/>
  <c r="N17"/>
  <c r="R17" s="1"/>
  <c r="N16"/>
  <c r="N15"/>
  <c r="R15" s="1"/>
  <c r="N13"/>
  <c r="R13" s="1"/>
  <c r="N12"/>
  <c r="I12"/>
  <c r="N11"/>
  <c r="R11" s="1"/>
  <c r="T14" l="1"/>
  <c r="U14" s="1"/>
  <c r="U11" i="114"/>
  <c r="U28" s="1"/>
  <c r="T28"/>
  <c r="T29" s="1"/>
  <c r="P15" i="112"/>
  <c r="Q17"/>
  <c r="O13"/>
  <c r="P13"/>
  <c r="O11"/>
  <c r="Q13"/>
  <c r="P11"/>
  <c r="Q11"/>
  <c r="N20"/>
  <c r="O17"/>
  <c r="O18"/>
  <c r="O19"/>
  <c r="P17"/>
  <c r="Q18"/>
  <c r="Q19"/>
  <c r="Q12"/>
  <c r="O15"/>
  <c r="Q16"/>
  <c r="P18"/>
  <c r="P19"/>
  <c r="O12"/>
  <c r="Q15"/>
  <c r="O16"/>
  <c r="R12"/>
  <c r="R16"/>
  <c r="P12"/>
  <c r="P16"/>
  <c r="Q15" i="111"/>
  <c r="Q26" i="110"/>
  <c r="Q15"/>
  <c r="Q18"/>
  <c r="T13" i="112" l="1"/>
  <c r="U13" s="1"/>
  <c r="T17"/>
  <c r="U17" s="1"/>
  <c r="T18"/>
  <c r="U18" s="1"/>
  <c r="T11"/>
  <c r="U11" s="1"/>
  <c r="T19"/>
  <c r="U19" s="1"/>
  <c r="R20"/>
  <c r="T16"/>
  <c r="U16" s="1"/>
  <c r="Q20"/>
  <c r="T12"/>
  <c r="U12" s="1"/>
  <c r="P20"/>
  <c r="O20"/>
  <c r="T15"/>
  <c r="U15" s="1"/>
  <c r="Q11" i="111"/>
  <c r="Q24"/>
  <c r="Q23"/>
  <c r="Q22"/>
  <c r="Q21"/>
  <c r="Q20"/>
  <c r="Q19"/>
  <c r="Q17"/>
  <c r="Q16"/>
  <c r="Q14"/>
  <c r="Q13"/>
  <c r="Q12"/>
  <c r="M27"/>
  <c r="K27"/>
  <c r="N26"/>
  <c r="I26"/>
  <c r="N25"/>
  <c r="N24"/>
  <c r="N23"/>
  <c r="N22"/>
  <c r="N21"/>
  <c r="N20"/>
  <c r="N19"/>
  <c r="N18"/>
  <c r="N17"/>
  <c r="N16"/>
  <c r="N15"/>
  <c r="I15"/>
  <c r="N14"/>
  <c r="N13"/>
  <c r="N12"/>
  <c r="N11"/>
  <c r="Q12" i="110"/>
  <c r="Q13"/>
  <c r="Q14"/>
  <c r="Q16"/>
  <c r="Q20"/>
  <c r="Q21"/>
  <c r="Q22"/>
  <c r="Q23"/>
  <c r="Q24"/>
  <c r="Q25"/>
  <c r="Q11"/>
  <c r="M28"/>
  <c r="K28"/>
  <c r="N27"/>
  <c r="I27"/>
  <c r="N26"/>
  <c r="N25"/>
  <c r="N24"/>
  <c r="N23"/>
  <c r="N22"/>
  <c r="N21"/>
  <c r="N20"/>
  <c r="N19"/>
  <c r="N18"/>
  <c r="N17"/>
  <c r="N16"/>
  <c r="N15"/>
  <c r="I15"/>
  <c r="N14"/>
  <c r="N13"/>
  <c r="N12"/>
  <c r="N11"/>
  <c r="K25" i="106"/>
  <c r="K24"/>
  <c r="K23"/>
  <c r="N23" s="1"/>
  <c r="K22"/>
  <c r="N22" s="1"/>
  <c r="K21"/>
  <c r="N21" s="1"/>
  <c r="K20"/>
  <c r="N20" s="1"/>
  <c r="N19"/>
  <c r="P19" s="1"/>
  <c r="K18"/>
  <c r="N18" s="1"/>
  <c r="O18" s="1"/>
  <c r="N17"/>
  <c r="Q17" s="1"/>
  <c r="K16"/>
  <c r="N16" s="1"/>
  <c r="R16" s="1"/>
  <c r="N15"/>
  <c r="K14"/>
  <c r="N14" s="1"/>
  <c r="R14" s="1"/>
  <c r="K13"/>
  <c r="N13" s="1"/>
  <c r="K12"/>
  <c r="N12" s="1"/>
  <c r="O12" s="1"/>
  <c r="K11"/>
  <c r="S28"/>
  <c r="M28"/>
  <c r="N27"/>
  <c r="O27" s="1"/>
  <c r="I27"/>
  <c r="N26"/>
  <c r="O26" s="1"/>
  <c r="N25"/>
  <c r="Q25" s="1"/>
  <c r="N24"/>
  <c r="R24" s="1"/>
  <c r="I15"/>
  <c r="N27" i="111" l="1"/>
  <c r="Q28" i="110"/>
  <c r="P16" i="106"/>
  <c r="T20" i="112"/>
  <c r="T21" s="1"/>
  <c r="U20"/>
  <c r="Q27" i="111"/>
  <c r="N28" i="110"/>
  <c r="O24" i="106"/>
  <c r="P24"/>
  <c r="Q23"/>
  <c r="R23"/>
  <c r="P22"/>
  <c r="Q22"/>
  <c r="R22"/>
  <c r="O21"/>
  <c r="P21"/>
  <c r="Q21"/>
  <c r="R21"/>
  <c r="R20"/>
  <c r="Q20"/>
  <c r="P20"/>
  <c r="O20"/>
  <c r="O16"/>
  <c r="Q15"/>
  <c r="R15"/>
  <c r="P13"/>
  <c r="R13"/>
  <c r="Q13"/>
  <c r="K28"/>
  <c r="R12"/>
  <c r="P12"/>
  <c r="Q12"/>
  <c r="N11"/>
  <c r="O17"/>
  <c r="P18"/>
  <c r="Q19"/>
  <c r="O25"/>
  <c r="P26"/>
  <c r="P27"/>
  <c r="P17"/>
  <c r="R19"/>
  <c r="O23"/>
  <c r="O13"/>
  <c r="P14"/>
  <c r="P15"/>
  <c r="Q16"/>
  <c r="R17"/>
  <c r="O22"/>
  <c r="P23"/>
  <c r="Q24"/>
  <c r="R25"/>
  <c r="Q18"/>
  <c r="P25"/>
  <c r="Q26"/>
  <c r="Q27"/>
  <c r="O14"/>
  <c r="O15"/>
  <c r="R18"/>
  <c r="R26"/>
  <c r="R27"/>
  <c r="Q14"/>
  <c r="O19"/>
  <c r="T24" l="1"/>
  <c r="U24" s="1"/>
  <c r="T13"/>
  <c r="U13" s="1"/>
  <c r="T21"/>
  <c r="U21" s="1"/>
  <c r="T16"/>
  <c r="U16" s="1"/>
  <c r="T12"/>
  <c r="U12" s="1"/>
  <c r="T27"/>
  <c r="U27" s="1"/>
  <c r="T26"/>
  <c r="U26" s="1"/>
  <c r="T22"/>
  <c r="U22" s="1"/>
  <c r="T20"/>
  <c r="U20" s="1"/>
  <c r="T18"/>
  <c r="U18" s="1"/>
  <c r="T14"/>
  <c r="U14" s="1"/>
  <c r="R11"/>
  <c r="R28" s="1"/>
  <c r="P11"/>
  <c r="P28" s="1"/>
  <c r="O11"/>
  <c r="O28" s="1"/>
  <c r="Q11"/>
  <c r="Q28" s="1"/>
  <c r="N28"/>
  <c r="T17"/>
  <c r="U17" s="1"/>
  <c r="T25"/>
  <c r="U25" s="1"/>
  <c r="T19"/>
  <c r="U19" s="1"/>
  <c r="T15"/>
  <c r="U15" s="1"/>
  <c r="T23"/>
  <c r="U23" s="1"/>
  <c r="T11" l="1"/>
  <c r="U11" s="1"/>
  <c r="U28" s="1"/>
  <c r="T28" l="1"/>
  <c r="T29" s="1"/>
  <c r="S28" i="105" l="1"/>
  <c r="M28"/>
  <c r="K28"/>
  <c r="N27"/>
  <c r="O27" s="1"/>
  <c r="I27"/>
  <c r="N26"/>
  <c r="O26" s="1"/>
  <c r="N25"/>
  <c r="R25" s="1"/>
  <c r="N24"/>
  <c r="R24" s="1"/>
  <c r="N23"/>
  <c r="R23" s="1"/>
  <c r="N22"/>
  <c r="P22" s="1"/>
  <c r="N21"/>
  <c r="O21" s="1"/>
  <c r="N20"/>
  <c r="R20" s="1"/>
  <c r="N19"/>
  <c r="P19" s="1"/>
  <c r="N18"/>
  <c r="R18" s="1"/>
  <c r="N17"/>
  <c r="R17" s="1"/>
  <c r="N16"/>
  <c r="R16" s="1"/>
  <c r="N15"/>
  <c r="P15" s="1"/>
  <c r="I15"/>
  <c r="N14"/>
  <c r="P14" s="1"/>
  <c r="N13"/>
  <c r="O13" s="1"/>
  <c r="N12"/>
  <c r="R12" s="1"/>
  <c r="N11"/>
  <c r="Q11" s="1"/>
  <c r="R13" l="1"/>
  <c r="O17"/>
  <c r="Q13"/>
  <c r="P18"/>
  <c r="R15"/>
  <c r="O20"/>
  <c r="Q26"/>
  <c r="O12"/>
  <c r="O24"/>
  <c r="P12"/>
  <c r="Q14"/>
  <c r="R21"/>
  <c r="P24"/>
  <c r="P21"/>
  <c r="R14"/>
  <c r="Q27"/>
  <c r="P20"/>
  <c r="Q22"/>
  <c r="O25"/>
  <c r="Q21"/>
  <c r="Q20"/>
  <c r="R22"/>
  <c r="P25"/>
  <c r="Q12"/>
  <c r="N28"/>
  <c r="P13"/>
  <c r="Q15"/>
  <c r="Q18"/>
  <c r="Q25"/>
  <c r="P11"/>
  <c r="O18"/>
  <c r="Q19"/>
  <c r="P26"/>
  <c r="P27"/>
  <c r="R19"/>
  <c r="O16"/>
  <c r="P17"/>
  <c r="O23"/>
  <c r="R26"/>
  <c r="R27"/>
  <c r="R11"/>
  <c r="O14"/>
  <c r="O15"/>
  <c r="P16"/>
  <c r="Q17"/>
  <c r="O22"/>
  <c r="P23"/>
  <c r="Q24"/>
  <c r="Q16"/>
  <c r="Q23"/>
  <c r="O19"/>
  <c r="O11"/>
  <c r="T19" l="1"/>
  <c r="U19" s="1"/>
  <c r="T13"/>
  <c r="U13" s="1"/>
  <c r="T15"/>
  <c r="U15" s="1"/>
  <c r="T25"/>
  <c r="U25" s="1"/>
  <c r="T14"/>
  <c r="U14" s="1"/>
  <c r="Q28"/>
  <c r="T20"/>
  <c r="U20" s="1"/>
  <c r="T18"/>
  <c r="U18" s="1"/>
  <c r="T17"/>
  <c r="U17" s="1"/>
  <c r="T24"/>
  <c r="U24" s="1"/>
  <c r="T21"/>
  <c r="U21" s="1"/>
  <c r="T16"/>
  <c r="U16" s="1"/>
  <c r="T12"/>
  <c r="U12" s="1"/>
  <c r="T27"/>
  <c r="U27" s="1"/>
  <c r="T26"/>
  <c r="U26" s="1"/>
  <c r="R28"/>
  <c r="T22"/>
  <c r="U22" s="1"/>
  <c r="P28"/>
  <c r="T11"/>
  <c r="O28"/>
  <c r="T23"/>
  <c r="U23" s="1"/>
  <c r="T28" l="1"/>
  <c r="T29" s="1"/>
  <c r="U11"/>
  <c r="U28" s="1"/>
</calcChain>
</file>

<file path=xl/sharedStrings.xml><?xml version="1.0" encoding="utf-8"?>
<sst xmlns="http://schemas.openxmlformats.org/spreadsheetml/2006/main" count="6707" uniqueCount="274">
  <si>
    <t>COLEGIO NUESTRA SEÑORA DE ITATI</t>
  </si>
  <si>
    <t>NIT 2304423010</t>
  </si>
  <si>
    <t>PLANILLA DE SUELDOS Y SALARIOS</t>
  </si>
  <si>
    <t>Nº</t>
  </si>
  <si>
    <t>CARNET DE IDENTIDAD</t>
  </si>
  <si>
    <t>APELLIDOS Y NOMBRE</t>
  </si>
  <si>
    <t>FECHA DE NACMNTO.</t>
  </si>
  <si>
    <t>SEXO
(F/M)</t>
  </si>
  <si>
    <t>OCUPACIÓN QUE 
DESEMPEÑA</t>
  </si>
  <si>
    <t>FECHA DE 
INGRESO</t>
  </si>
  <si>
    <t>DÍAS</t>
  </si>
  <si>
    <t>BONO DE ANTIGÜEDAD</t>
  </si>
  <si>
    <t>TOTAL GANADO</t>
  </si>
  <si>
    <t>DESCUENTOS</t>
  </si>
  <si>
    <t>FIRMA DEL
EMPLEADO</t>
  </si>
  <si>
    <t>PGDOS.</t>
  </si>
  <si>
    <t>RC-IVA</t>
  </si>
  <si>
    <t>MES</t>
  </si>
  <si>
    <t>F</t>
  </si>
  <si>
    <t>6762850 L.P.</t>
  </si>
  <si>
    <t>Iporre Gallardo Francia Flora</t>
  </si>
  <si>
    <t>Auxiliar Kinder</t>
  </si>
  <si>
    <t xml:space="preserve">                    TOTAL</t>
  </si>
  <si>
    <t>COMIS. AFP</t>
  </si>
  <si>
    <t xml:space="preserve">Aporte Solidario </t>
  </si>
  <si>
    <t>RIESGO COMUN</t>
  </si>
  <si>
    <t>AFP FCI</t>
  </si>
  <si>
    <t>LÍQUIDO PAGABLE</t>
  </si>
  <si>
    <t>Regente</t>
  </si>
  <si>
    <t>6856736 L.P.</t>
  </si>
  <si>
    <t>Prof. Artes y Talleres</t>
  </si>
  <si>
    <t>4976245 L.P.</t>
  </si>
  <si>
    <t>Prof. Primaria</t>
  </si>
  <si>
    <t>01 - 922 - 0117</t>
  </si>
  <si>
    <t xml:space="preserve">Auxiliar </t>
  </si>
  <si>
    <t>4846736 L.P.</t>
  </si>
  <si>
    <t>Prof. Inicial</t>
  </si>
  <si>
    <t>8291569 L.P.</t>
  </si>
  <si>
    <t>Yapu Quispe Mariela</t>
  </si>
  <si>
    <t>HABER BASICO</t>
  </si>
  <si>
    <t>Auxiliar</t>
  </si>
  <si>
    <t>6947307 L.P.</t>
  </si>
  <si>
    <t>4843800 L.P.</t>
  </si>
  <si>
    <t>4847716 L.P.</t>
  </si>
  <si>
    <t>3499788 L.P.</t>
  </si>
  <si>
    <t>3426136 L.P.</t>
  </si>
  <si>
    <t>Perez Torrez Ivette Maura</t>
  </si>
  <si>
    <t>Auxiliar Contable</t>
  </si>
  <si>
    <t>PERSONAL  DOCENTE Y ADMINISTRATIVO ASEGURADO EN LA CAJA NACIONAL DE SALUD</t>
  </si>
  <si>
    <t>Prof. Matemática</t>
  </si>
  <si>
    <t>5993973 L.P.</t>
  </si>
  <si>
    <t xml:space="preserve">Prof. Primaria </t>
  </si>
  <si>
    <t>2709863 L.P.</t>
  </si>
  <si>
    <t>PROMEDIO TOTAL GANADO</t>
  </si>
  <si>
    <t>MESES TRABAJADOS</t>
  </si>
  <si>
    <t>DIAS TRABAJADOS</t>
  </si>
  <si>
    <t>TOTAL AGUINALDO DESPUES DE DUODECIMAS</t>
  </si>
  <si>
    <t>PLANILLA DE PAGO DE AGUINALDO</t>
  </si>
  <si>
    <t>HORAS PAGADAS</t>
  </si>
  <si>
    <t>DIA</t>
  </si>
  <si>
    <t>Aparicio Altamirano Ninoska Giovanna</t>
  </si>
  <si>
    <t>Gonzales Barreda Cesar Augusto</t>
  </si>
  <si>
    <t>Quijarro Garnica Yolanda Maribel</t>
  </si>
  <si>
    <t>Rocha de Estrada Janeth Helen</t>
  </si>
  <si>
    <t>Sandi Ochoa Maria Elena</t>
  </si>
  <si>
    <t>Torrico Guzman Giovana Magali</t>
  </si>
  <si>
    <t>Vargas Quispe Norath Irene</t>
  </si>
  <si>
    <t>6004970 L.P.</t>
  </si>
  <si>
    <t>Crespo Vega Tania Jhael</t>
  </si>
  <si>
    <t>5967092 L,P,</t>
  </si>
  <si>
    <t>Lopez Calle Julio Cesar</t>
  </si>
  <si>
    <t>Prof. Contabilidad</t>
  </si>
  <si>
    <t>Vargas Escobar Viviana Andrea</t>
  </si>
  <si>
    <t>Prof. Biologia</t>
  </si>
  <si>
    <t>KINDERGARTEN BICHITO DE LUZ Y</t>
  </si>
  <si>
    <t>TOTAL DESCUENTO</t>
  </si>
  <si>
    <t>PROMEDIO DEL HABER BASICO</t>
  </si>
  <si>
    <t>6031621 L.P.</t>
  </si>
  <si>
    <t>Valenzuela Valenzuela Sara De La Concepcion</t>
  </si>
  <si>
    <t>4884925 L.P.</t>
  </si>
  <si>
    <t>Huasco Orosco Israel Ronald</t>
  </si>
  <si>
    <t>Prof. Ciencias Sociales</t>
  </si>
  <si>
    <t>6023984 L.P.</t>
  </si>
  <si>
    <t>Sanga Paye Sonia</t>
  </si>
  <si>
    <t>Villasante Flores Maria Luz</t>
  </si>
  <si>
    <t>7041276 L.P</t>
  </si>
  <si>
    <t>Michel Gamarra Claudia Lorena</t>
  </si>
  <si>
    <t xml:space="preserve">INCREMENT0 </t>
  </si>
  <si>
    <t xml:space="preserve">MES DE NOVIEMBRE  2020 </t>
  </si>
  <si>
    <t>La Paz, 15 de diciembre de 2020</t>
  </si>
  <si>
    <t xml:space="preserve">MES DE DICIEMBRE  2020 </t>
  </si>
  <si>
    <t>La Paz, 17 de diciembre de 2020</t>
  </si>
  <si>
    <t xml:space="preserve">GESTION 2020 </t>
  </si>
  <si>
    <t>La Paz, 19 de diciembre de 2020</t>
  </si>
  <si>
    <t>PLANILLA DE PAGO DE AGUINALDO INTERNA DEL 16/01/2020 A 31/07/2020 Y DEL 14/09/2020 A 14/12/2020</t>
  </si>
  <si>
    <t xml:space="preserve">MES DE ENERO  2021 </t>
  </si>
  <si>
    <t>8383737 L.P.</t>
  </si>
  <si>
    <t>Salazar Botateno Fatima Jenny</t>
  </si>
  <si>
    <t>La Paz, 12 de febrero 2021</t>
  </si>
  <si>
    <t>4922675 L.P.</t>
  </si>
  <si>
    <t>Secreteria</t>
  </si>
  <si>
    <t>9243069 L.P.</t>
  </si>
  <si>
    <t>Kapa Escobar Luis Miguel</t>
  </si>
  <si>
    <t>Prof. Musica</t>
  </si>
  <si>
    <t>Lopez Alave Kethy</t>
  </si>
  <si>
    <t>4791188 L.P.</t>
  </si>
  <si>
    <t xml:space="preserve">MES DE FEBRERO  2021 </t>
  </si>
  <si>
    <t>La Paz, 12 de marzo 2021</t>
  </si>
  <si>
    <t>Jhannete Viviana Alferez Tito</t>
  </si>
  <si>
    <t>La Paz, 12 de abril de 2021</t>
  </si>
  <si>
    <t xml:space="preserve">MES DE MARZO  2021 </t>
  </si>
  <si>
    <t xml:space="preserve">MES DE ABRIL  2021 </t>
  </si>
  <si>
    <t>La Paz, 14 de mayo de 2021</t>
  </si>
  <si>
    <t>PLANILLA DE SUELDOS Y SALARIOS RETROACTIVA DE ENERO A ABRIL</t>
  </si>
  <si>
    <t xml:space="preserve">ENERO </t>
  </si>
  <si>
    <t xml:space="preserve">FEBRERO </t>
  </si>
  <si>
    <t>MARZO</t>
  </si>
  <si>
    <t>ABRIL</t>
  </si>
  <si>
    <t>RETROACTIVO</t>
  </si>
  <si>
    <t>ENERO A ABRIL</t>
  </si>
  <si>
    <t xml:space="preserve">MES DE MAYO  2021 </t>
  </si>
  <si>
    <t>AlferezTito Jhannete Viviana</t>
  </si>
  <si>
    <t>Alferez Tito Jhannete Viviana</t>
  </si>
  <si>
    <t>La Paz, 28 de mayo de 2021</t>
  </si>
  <si>
    <t>Villazante Flores Maria Luz</t>
  </si>
  <si>
    <r>
      <t>Valenzuela Valenzuela Sara</t>
    </r>
    <r>
      <rPr>
        <sz val="8"/>
        <rFont val="Arial"/>
        <family val="2"/>
      </rPr>
      <t xml:space="preserve"> De La Concepcion</t>
    </r>
  </si>
  <si>
    <t>TOTAL RETROACTIVO</t>
  </si>
  <si>
    <t>La Paz, 11 de junio de 2021</t>
  </si>
  <si>
    <t>Rocha Menacho Janeth Helen</t>
  </si>
  <si>
    <t xml:space="preserve">MES DE JUNIO  2021 </t>
  </si>
  <si>
    <t>La Paz, 12 de julio de 2021</t>
  </si>
  <si>
    <t>La Paz, 10 de agosto de 2021</t>
  </si>
  <si>
    <t xml:space="preserve">MES DE JULIO  2021 </t>
  </si>
  <si>
    <t xml:space="preserve">MES DE AGOSTO  2021 </t>
  </si>
  <si>
    <t>La Paz, 10 de septiembre de 2021</t>
  </si>
  <si>
    <t xml:space="preserve">MES DE SEPTIEMBRE  2021 </t>
  </si>
  <si>
    <t>La Paz, 08 de octubre de 2021</t>
  </si>
  <si>
    <t xml:space="preserve">MES DE OCTUBRE  2021 </t>
  </si>
  <si>
    <t>La Paz, 08 de noviembre de 2021</t>
  </si>
  <si>
    <t xml:space="preserve">MES DE NOVIEMBRE  2021 </t>
  </si>
  <si>
    <t xml:space="preserve">MES DE DICIEMBRE  2021 </t>
  </si>
  <si>
    <t>La Paz, 10 de diciembre de 2021</t>
  </si>
  <si>
    <t>La Paz, 15 de diciembre de 2021</t>
  </si>
  <si>
    <t>PLANILLA DE PAGO DE AGUINALDOS</t>
  </si>
  <si>
    <t xml:space="preserve">GESTION  2021 </t>
  </si>
  <si>
    <t>La Paz, diciembre de 2021</t>
  </si>
  <si>
    <t xml:space="preserve">MES DE ENERO  2022 </t>
  </si>
  <si>
    <t>La Paz, 10 de febrero de 2022</t>
  </si>
  <si>
    <t>Prof. Ciencias Sociales-Religion</t>
  </si>
  <si>
    <t>8466054 L.P.</t>
  </si>
  <si>
    <t>Quispe Ticona Ana Jerusalen</t>
  </si>
  <si>
    <t xml:space="preserve">MES DE FEBRERO  2022 </t>
  </si>
  <si>
    <t xml:space="preserve">MES DE MARZO  2022 </t>
  </si>
  <si>
    <t xml:space="preserve">MES DE ABRIL  2022 </t>
  </si>
  <si>
    <t>La Paz, 08 de abril de 2022</t>
  </si>
  <si>
    <t>La Paz, 10 de marzo de 2022</t>
  </si>
  <si>
    <t>La Paz, 10 de mayo de 2022</t>
  </si>
  <si>
    <t xml:space="preserve">MES DE MAYO  2022 </t>
  </si>
  <si>
    <t>La Paz, 10 de junio de 2022</t>
  </si>
  <si>
    <t xml:space="preserve">PLANILLA DE SUELDOS Y SALARIOS RETROACTIVA DE ENERO A ABRIL 2022 </t>
  </si>
  <si>
    <t>La Paz, 26 de mayo de 2022</t>
  </si>
  <si>
    <t xml:space="preserve">MES DE JUNIO  2022 </t>
  </si>
  <si>
    <t>La Paz, 08 de julio de 2022</t>
  </si>
  <si>
    <t xml:space="preserve">MES DE JULIO  2022 </t>
  </si>
  <si>
    <t>La Paz, 10 de agosto de 2022</t>
  </si>
  <si>
    <t xml:space="preserve">MES DE AGOSTO  2022 </t>
  </si>
  <si>
    <t>La Paz, 09 de septiembre de 2022</t>
  </si>
  <si>
    <t xml:space="preserve">MES DE SEPTIEMBRE  2022 </t>
  </si>
  <si>
    <t>La Paz, 10 de octubre de 2022</t>
  </si>
  <si>
    <t xml:space="preserve">MES DE OCTUBRE  2022 </t>
  </si>
  <si>
    <t>La Paz, 10 de noviembre de 2022</t>
  </si>
  <si>
    <t xml:space="preserve">MES DE NOVIEMBRE  2022 </t>
  </si>
  <si>
    <t>La Paz, 09 de noviembre de 2022</t>
  </si>
  <si>
    <t>PLANILLA DE PAGGO DE AGUINALDO</t>
  </si>
  <si>
    <t>GESTION 2022</t>
  </si>
  <si>
    <t>La Paz, 16 de diciembre de 2022</t>
  </si>
  <si>
    <t xml:space="preserve">MES DE DICIEMBRE  2022 </t>
  </si>
  <si>
    <t xml:space="preserve">MES DE ENERO 2023 </t>
  </si>
  <si>
    <t>Cajera</t>
  </si>
  <si>
    <t xml:space="preserve">MES DE FEBRERO 2023 </t>
  </si>
  <si>
    <t>Professor Música</t>
  </si>
  <si>
    <t>Salazar Botetano Fatima Jenny</t>
  </si>
  <si>
    <t>La Paz, 10 de marzo de 2023</t>
  </si>
  <si>
    <t>4808121 L.P.</t>
  </si>
  <si>
    <t>Vasquez Ortuño Erika Paola</t>
  </si>
  <si>
    <t xml:space="preserve">Prof. Leg. Lit. </t>
  </si>
  <si>
    <t>La Paz, 10 de abril de 2023</t>
  </si>
  <si>
    <t xml:space="preserve">MES DE MARZO 2023 </t>
  </si>
  <si>
    <t xml:space="preserve">MES DE ABRIL 2023 </t>
  </si>
  <si>
    <t>La Paz, 10 de mayo de 2023</t>
  </si>
  <si>
    <t xml:space="preserve">DENERO </t>
  </si>
  <si>
    <t>FEBRERO</t>
  </si>
  <si>
    <t xml:space="preserve">ABRIL </t>
  </si>
  <si>
    <t>BONO DE ANTIGÜEDAD DE ENERO A ABRIL</t>
  </si>
  <si>
    <t>La Paz, 30 de mayo de 2023</t>
  </si>
  <si>
    <t>PLANILLA DE SUELDOS Y SALARIOS RETROACTIVA DE ENERO A ABRIL 2023</t>
  </si>
  <si>
    <t xml:space="preserve">MES DE MAYO 2023 </t>
  </si>
  <si>
    <t>La Paz, 09 de junio 2023</t>
  </si>
  <si>
    <t>La Paz, 10 de julio 2023</t>
  </si>
  <si>
    <t>Encargado de mantenimiento de la plataforma y página WEB</t>
  </si>
  <si>
    <t xml:space="preserve">MES DE JUNIO 2023 </t>
  </si>
  <si>
    <t xml:space="preserve">MES DE JULIO 2023 </t>
  </si>
  <si>
    <t>La Paz, 10 de agosto de 2023</t>
  </si>
  <si>
    <t xml:space="preserve">MES DE AGOSTO 2023 </t>
  </si>
  <si>
    <t>La Paz, 08 de septiembre de 2023</t>
  </si>
  <si>
    <t xml:space="preserve">MES DE DICIEMBRE 2023 </t>
  </si>
  <si>
    <t>La Paz,  diciembre de 2023</t>
  </si>
  <si>
    <t xml:space="preserve">MES DE OCTUBRE 2023 </t>
  </si>
  <si>
    <t>La Paz, 10 de noviembre de 2023</t>
  </si>
  <si>
    <t xml:space="preserve">MES DE ENERO 2024 </t>
  </si>
  <si>
    <t xml:space="preserve">La Paz, 09 de febrero de 2024 </t>
  </si>
  <si>
    <t>PERSONAL   ADMINISTRATIVO ASEGURADO EN LA CAJA NACIONAL DE SALUD</t>
  </si>
  <si>
    <t xml:space="preserve">MES DE FEBRERO 2024 </t>
  </si>
  <si>
    <t>4290307 L.P.</t>
  </si>
  <si>
    <t>Rocha Borda Dhyana Sita</t>
  </si>
  <si>
    <t>Prof. Religion</t>
  </si>
  <si>
    <t>La Paz, 08 de marzo de 2024</t>
  </si>
  <si>
    <t xml:space="preserve">MES DE MARZO 2024 </t>
  </si>
  <si>
    <t>La Paz, 10 de abril de 2024</t>
  </si>
  <si>
    <t>ENERO</t>
  </si>
  <si>
    <t xml:space="preserve">MES DE MAYO 2024 </t>
  </si>
  <si>
    <t>La Paz, 10 de junio de 2024</t>
  </si>
  <si>
    <t xml:space="preserve">MES DE JUNIO 2024 </t>
  </si>
  <si>
    <t>La Paz, 10 de julio de 2024</t>
  </si>
  <si>
    <t xml:space="preserve">MES DE JULIO 2024 </t>
  </si>
  <si>
    <t>La Paz, 09 de agosto de 2024</t>
  </si>
  <si>
    <t xml:space="preserve">MES DE AGOSTO 2024 </t>
  </si>
  <si>
    <t>La Paz, 10 de agosto de 2024</t>
  </si>
  <si>
    <t>2371499 L.P.</t>
  </si>
  <si>
    <t>Carvajal Aviles Marianela Ilse</t>
  </si>
  <si>
    <t>4062235 Or.</t>
  </si>
  <si>
    <t>Cardozo Velasquez Lulhy Adriana</t>
  </si>
  <si>
    <t xml:space="preserve">Prof. A. Plasticas </t>
  </si>
  <si>
    <t xml:space="preserve">MES DE SEPTIEMBRE 2024 </t>
  </si>
  <si>
    <t>La Paz, 10 de octubre de 2024</t>
  </si>
  <si>
    <t xml:space="preserve">MES DE OCTUBRE 2024 </t>
  </si>
  <si>
    <t>La Paz, 10 de noviembre de 2024</t>
  </si>
  <si>
    <t xml:space="preserve">MES DE NOVIEMBRE 2024 </t>
  </si>
  <si>
    <t>La Paz, 10 de diciembre de 2024</t>
  </si>
  <si>
    <t>GESTION 2024</t>
  </si>
  <si>
    <t>La Paz, 12 de diciembre de 2024</t>
  </si>
  <si>
    <t xml:space="preserve">MES DE DICIEMBRE 2024 </t>
  </si>
  <si>
    <t>La Paz,   diciembre de 2024</t>
  </si>
  <si>
    <t xml:space="preserve">MES DE ENERO  2025 </t>
  </si>
  <si>
    <t>La Paz, 10 de febrero 2025</t>
  </si>
  <si>
    <t>PLANILLA DE SUELDO Y SALARIO</t>
  </si>
  <si>
    <t xml:space="preserve"> </t>
  </si>
  <si>
    <t>C.N.S 10%</t>
  </si>
  <si>
    <t>Total</t>
  </si>
  <si>
    <t xml:space="preserve">MES DE FEBRERO 2025 </t>
  </si>
  <si>
    <t>6805032 L.P.</t>
  </si>
  <si>
    <t>Barrientos Cordova Daniela</t>
  </si>
  <si>
    <t xml:space="preserve">Prof. Educación Física </t>
  </si>
  <si>
    <t xml:space="preserve">Prof. Leguaje y Lit. </t>
  </si>
  <si>
    <t>6758234-1O</t>
  </si>
  <si>
    <t>Cruz Mayta Domitila</t>
  </si>
  <si>
    <t>Encargado  mantenimiento  plataforma y página WEB</t>
  </si>
  <si>
    <t>4866880 L.P.</t>
  </si>
  <si>
    <t>Perez Rejas Marcelo Fernando</t>
  </si>
  <si>
    <t>La Paz, 10 de marzo de 2025</t>
  </si>
  <si>
    <t xml:space="preserve">MES DE ABRIL 2025 </t>
  </si>
  <si>
    <t>La Paz, 09 de mayo de 2025</t>
  </si>
  <si>
    <t xml:space="preserve">MES DE MAYO 2025 </t>
  </si>
  <si>
    <t>La Paz, 10 de junio de 2025</t>
  </si>
  <si>
    <t>10% CNS</t>
  </si>
  <si>
    <t xml:space="preserve">       13,92% GESTORA</t>
  </si>
  <si>
    <t>TOTAL CNS Y GESTORA</t>
  </si>
  <si>
    <t xml:space="preserve">MES DE JUNIO 2025 </t>
  </si>
  <si>
    <t>La Paz, 10 de julio de 2025</t>
  </si>
  <si>
    <t xml:space="preserve">RETROACTIVO DE ENERO A ABRIL  2025 </t>
  </si>
  <si>
    <t>º</t>
  </si>
  <si>
    <t>La Paz, 28 de julio de 2025</t>
  </si>
  <si>
    <t xml:space="preserve">MES DE AGOSTO 2025 </t>
  </si>
  <si>
    <t>La Paz, 10 de septiembre de 2025</t>
  </si>
</sst>
</file>

<file path=xl/styles.xml><?xml version="1.0" encoding="utf-8"?>
<styleSheet xmlns="http://schemas.openxmlformats.org/spreadsheetml/2006/main">
  <numFmts count="4">
    <numFmt numFmtId="43" formatCode="_-* #,##0.00\ _€_-;\-* #,##0.00\ _€_-;_-* &quot;-&quot;??\ _€_-;_-@_-"/>
    <numFmt numFmtId="164" formatCode="_ * #,##0.00_ ;_ * \-#,##0.00_ ;_ * &quot;-&quot;??_ ;_ @_ "/>
    <numFmt numFmtId="165" formatCode="0.0%"/>
    <numFmt numFmtId="166" formatCode="dd/mm/yyyy;@"/>
  </numFmts>
  <fonts count="3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b/>
      <sz val="12"/>
      <name val="Arial"/>
      <family val="2"/>
    </font>
    <font>
      <sz val="11"/>
      <color indexed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sz val="9"/>
      <name val="Arial Baltic"/>
      <family val="2"/>
      <charset val="186"/>
    </font>
    <font>
      <b/>
      <sz val="9"/>
      <name val="Arial"/>
      <family val="2"/>
    </font>
    <font>
      <sz val="11"/>
      <color indexed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9"/>
      <name val="Calibri"/>
      <family val="2"/>
    </font>
    <font>
      <sz val="9"/>
      <color theme="1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8"/>
      <name val="Arial Baltic"/>
      <family val="2"/>
      <charset val="186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sz val="7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sz val="9"/>
      <color rgb="FFFF0000"/>
      <name val="Times New Roman"/>
      <family val="1"/>
    </font>
    <font>
      <sz val="9"/>
      <color rgb="FFFF0000"/>
      <name val="Arial Baltic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7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" fontId="11" fillId="0" borderId="1" xfId="0" applyNumberFormat="1" applyFont="1" applyBorder="1"/>
    <xf numFmtId="0" fontId="6" fillId="0" borderId="0" xfId="0" applyFont="1"/>
    <xf numFmtId="0" fontId="12" fillId="0" borderId="0" xfId="0" applyFont="1"/>
    <xf numFmtId="4" fontId="13" fillId="0" borderId="1" xfId="0" applyNumberFormat="1" applyFont="1" applyBorder="1"/>
    <xf numFmtId="14" fontId="8" fillId="2" borderId="1" xfId="0" applyNumberFormat="1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4" fontId="12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6" fontId="8" fillId="0" borderId="1" xfId="0" applyNumberFormat="1" applyFont="1" applyBorder="1"/>
    <xf numFmtId="0" fontId="0" fillId="0" borderId="6" xfId="0" applyBorder="1"/>
    <xf numFmtId="4" fontId="11" fillId="0" borderId="7" xfId="0" applyNumberFormat="1" applyFont="1" applyBorder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/>
    <xf numFmtId="0" fontId="11" fillId="0" borderId="6" xfId="0" applyFont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/>
    <xf numFmtId="4" fontId="10" fillId="0" borderId="1" xfId="0" applyNumberFormat="1" applyFont="1" applyBorder="1"/>
    <xf numFmtId="3" fontId="8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/>
    <xf numFmtId="14" fontId="8" fillId="0" borderId="1" xfId="0" applyNumberFormat="1" applyFont="1" applyBorder="1"/>
    <xf numFmtId="4" fontId="8" fillId="0" borderId="1" xfId="1" applyNumberFormat="1" applyFont="1" applyBorder="1" applyAlignment="1"/>
    <xf numFmtId="164" fontId="8" fillId="0" borderId="1" xfId="1" applyNumberFormat="1" applyFont="1" applyBorder="1" applyAlignment="1"/>
    <xf numFmtId="0" fontId="8" fillId="0" borderId="0" xfId="0" applyFont="1"/>
    <xf numFmtId="4" fontId="0" fillId="0" borderId="0" xfId="0" applyNumberFormat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4" fontId="13" fillId="0" borderId="7" xfId="0" applyNumberFormat="1" applyFont="1" applyBorder="1"/>
    <xf numFmtId="4" fontId="8" fillId="0" borderId="2" xfId="1" applyNumberFormat="1" applyFont="1" applyBorder="1" applyAlignment="1"/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14" fontId="8" fillId="0" borderId="4" xfId="0" applyNumberFormat="1" applyFont="1" applyBorder="1"/>
    <xf numFmtId="0" fontId="8" fillId="0" borderId="3" xfId="0" applyFont="1" applyBorder="1"/>
    <xf numFmtId="2" fontId="8" fillId="0" borderId="4" xfId="0" applyNumberFormat="1" applyFont="1" applyBorder="1"/>
    <xf numFmtId="4" fontId="8" fillId="0" borderId="1" xfId="0" applyNumberFormat="1" applyFont="1" applyBorder="1"/>
    <xf numFmtId="0" fontId="16" fillId="0" borderId="1" xfId="0" applyFont="1" applyBorder="1" applyAlignment="1">
      <alignment horizontal="center"/>
    </xf>
    <xf numFmtId="0" fontId="16" fillId="0" borderId="0" xfId="0" applyFont="1"/>
    <xf numFmtId="0" fontId="16" fillId="0" borderId="6" xfId="0" applyFont="1" applyBorder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wrapText="1"/>
    </xf>
    <xf numFmtId="4" fontId="10" fillId="0" borderId="7" xfId="0" applyNumberFormat="1" applyFont="1" applyBorder="1"/>
    <xf numFmtId="4" fontId="8" fillId="0" borderId="7" xfId="0" applyNumberFormat="1" applyFont="1" applyBorder="1"/>
    <xf numFmtId="0" fontId="8" fillId="0" borderId="2" xfId="0" applyFont="1" applyBorder="1"/>
    <xf numFmtId="14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166" fontId="8" fillId="0" borderId="2" xfId="0" applyNumberFormat="1" applyFont="1" applyBorder="1"/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1" xfId="0" applyBorder="1"/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8" fillId="0" borderId="4" xfId="0" applyFont="1" applyBorder="1" applyAlignment="1">
      <alignment wrapText="1"/>
    </xf>
    <xf numFmtId="0" fontId="18" fillId="0" borderId="1" xfId="0" applyFont="1" applyBorder="1"/>
    <xf numFmtId="166" fontId="18" fillId="0" borderId="1" xfId="0" applyNumberFormat="1" applyFont="1" applyBorder="1"/>
    <xf numFmtId="0" fontId="18" fillId="0" borderId="2" xfId="0" applyFont="1" applyBorder="1"/>
    <xf numFmtId="166" fontId="18" fillId="0" borderId="2" xfId="0" applyNumberFormat="1" applyFont="1" applyBorder="1"/>
    <xf numFmtId="0" fontId="18" fillId="0" borderId="1" xfId="0" applyFont="1" applyBorder="1" applyAlignment="1">
      <alignment wrapText="1"/>
    </xf>
    <xf numFmtId="2" fontId="18" fillId="0" borderId="1" xfId="0" applyNumberFormat="1" applyFont="1" applyBorder="1"/>
    <xf numFmtId="4" fontId="18" fillId="0" borderId="3" xfId="0" applyNumberFormat="1" applyFont="1" applyBorder="1"/>
    <xf numFmtId="2" fontId="18" fillId="0" borderId="3" xfId="0" applyNumberFormat="1" applyFont="1" applyBorder="1"/>
    <xf numFmtId="4" fontId="18" fillId="0" borderId="1" xfId="0" applyNumberFormat="1" applyFont="1" applyBorder="1"/>
    <xf numFmtId="4" fontId="19" fillId="0" borderId="1" xfId="0" applyNumberFormat="1" applyFont="1" applyBorder="1"/>
    <xf numFmtId="4" fontId="19" fillId="0" borderId="7" xfId="0" applyNumberFormat="1" applyFont="1" applyBorder="1"/>
    <xf numFmtId="4" fontId="18" fillId="0" borderId="7" xfId="0" applyNumberFormat="1" applyFont="1" applyBorder="1"/>
    <xf numFmtId="4" fontId="7" fillId="0" borderId="7" xfId="0" applyNumberFormat="1" applyFont="1" applyBorder="1"/>
    <xf numFmtId="4" fontId="18" fillId="0" borderId="1" xfId="1" applyNumberFormat="1" applyFont="1" applyBorder="1" applyAlignment="1"/>
    <xf numFmtId="0" fontId="18" fillId="0" borderId="1" xfId="0" applyFont="1" applyBorder="1" applyAlignment="1">
      <alignment horizontal="center"/>
    </xf>
    <xf numFmtId="0" fontId="18" fillId="0" borderId="0" xfId="0" applyFont="1"/>
    <xf numFmtId="0" fontId="18" fillId="0" borderId="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0" xfId="0" applyFont="1"/>
    <xf numFmtId="0" fontId="21" fillId="0" borderId="1" xfId="0" applyFont="1" applyBorder="1" applyAlignment="1">
      <alignment horizontal="center"/>
    </xf>
    <xf numFmtId="0" fontId="21" fillId="0" borderId="0" xfId="0" applyFont="1"/>
    <xf numFmtId="0" fontId="22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1" fillId="0" borderId="1" xfId="0" applyFont="1" applyBorder="1"/>
    <xf numFmtId="4" fontId="8" fillId="0" borderId="0" xfId="0" applyNumberFormat="1" applyFont="1"/>
    <xf numFmtId="0" fontId="11" fillId="0" borderId="0" xfId="0" applyFont="1" applyAlignment="1">
      <alignment horizontal="center"/>
    </xf>
    <xf numFmtId="0" fontId="8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0" xfId="0" applyFont="1"/>
    <xf numFmtId="0" fontId="8" fillId="0" borderId="1" xfId="1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3" fillId="0" borderId="0" xfId="0" applyFont="1"/>
    <xf numFmtId="0" fontId="24" fillId="0" borderId="0" xfId="0" applyFont="1"/>
    <xf numFmtId="4" fontId="23" fillId="0" borderId="0" xfId="0" applyNumberFormat="1" applyFont="1"/>
    <xf numFmtId="14" fontId="8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vertic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25" fillId="0" borderId="0" xfId="0" applyFont="1" applyAlignment="1">
      <alignment horizontal="center" vertical="center" wrapText="1"/>
    </xf>
    <xf numFmtId="2" fontId="8" fillId="0" borderId="1" xfId="0" applyNumberFormat="1" applyFont="1" applyBorder="1"/>
    <xf numFmtId="0" fontId="24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16" fillId="2" borderId="4" xfId="0" applyNumberFormat="1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16" fillId="2" borderId="4" xfId="0" applyNumberFormat="1" applyFont="1" applyFill="1" applyBorder="1" applyAlignment="1">
      <alignment horizontal="right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/>
    </xf>
    <xf numFmtId="4" fontId="28" fillId="0" borderId="1" xfId="1" applyNumberFormat="1" applyFont="1" applyBorder="1" applyAlignment="1"/>
    <xf numFmtId="0" fontId="28" fillId="0" borderId="4" xfId="0" applyFont="1" applyBorder="1" applyAlignment="1">
      <alignment horizontal="center" vertical="center"/>
    </xf>
    <xf numFmtId="0" fontId="28" fillId="2" borderId="1" xfId="0" applyFont="1" applyFill="1" applyBorder="1"/>
    <xf numFmtId="14" fontId="28" fillId="2" borderId="1" xfId="0" applyNumberFormat="1" applyFont="1" applyFill="1" applyBorder="1"/>
    <xf numFmtId="0" fontId="28" fillId="2" borderId="1" xfId="0" applyFont="1" applyFill="1" applyBorder="1" applyAlignment="1">
      <alignment horizontal="center"/>
    </xf>
    <xf numFmtId="0" fontId="28" fillId="0" borderId="1" xfId="0" applyFont="1" applyBorder="1"/>
    <xf numFmtId="14" fontId="28" fillId="0" borderId="4" xfId="0" applyNumberFormat="1" applyFont="1" applyBorder="1"/>
    <xf numFmtId="0" fontId="28" fillId="0" borderId="1" xfId="0" applyFont="1" applyBorder="1" applyAlignment="1">
      <alignment horizontal="center"/>
    </xf>
    <xf numFmtId="0" fontId="28" fillId="0" borderId="0" xfId="0" applyFont="1"/>
    <xf numFmtId="4" fontId="28" fillId="0" borderId="1" xfId="0" applyNumberFormat="1" applyFont="1" applyBorder="1"/>
    <xf numFmtId="0" fontId="28" fillId="0" borderId="1" xfId="0" applyNumberFormat="1" applyFont="1" applyBorder="1" applyAlignment="1">
      <alignment horizontal="center"/>
    </xf>
    <xf numFmtId="0" fontId="28" fillId="0" borderId="1" xfId="1" applyNumberFormat="1" applyFont="1" applyBorder="1" applyAlignment="1">
      <alignment horizontal="center"/>
    </xf>
    <xf numFmtId="164" fontId="28" fillId="0" borderId="1" xfId="1" applyNumberFormat="1" applyFont="1" applyBorder="1" applyAlignment="1"/>
    <xf numFmtId="0" fontId="29" fillId="0" borderId="0" xfId="0" applyFont="1"/>
    <xf numFmtId="0" fontId="27" fillId="0" borderId="0" xfId="0" applyFont="1"/>
    <xf numFmtId="14" fontId="28" fillId="0" borderId="1" xfId="0" applyNumberFormat="1" applyFont="1" applyBorder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30" fillId="0" borderId="2" xfId="0" applyFont="1" applyBorder="1" applyAlignment="1">
      <alignment horizontal="center"/>
    </xf>
    <xf numFmtId="4" fontId="31" fillId="0" borderId="7" xfId="0" applyNumberFormat="1" applyFont="1" applyBorder="1"/>
    <xf numFmtId="4" fontId="28" fillId="0" borderId="7" xfId="0" applyNumberFormat="1" applyFont="1" applyBorder="1"/>
    <xf numFmtId="0" fontId="30" fillId="0" borderId="1" xfId="0" applyFont="1" applyBorder="1" applyAlignment="1">
      <alignment horizontal="center"/>
    </xf>
    <xf numFmtId="4" fontId="31" fillId="0" borderId="1" xfId="0" applyNumberFormat="1" applyFont="1" applyBorder="1"/>
    <xf numFmtId="166" fontId="28" fillId="0" borderId="1" xfId="0" applyNumberFormat="1" applyFont="1" applyBorder="1"/>
    <xf numFmtId="4" fontId="28" fillId="0" borderId="0" xfId="0" applyNumberFormat="1" applyFont="1"/>
    <xf numFmtId="0" fontId="28" fillId="2" borderId="1" xfId="0" applyFont="1" applyFill="1" applyBorder="1" applyAlignment="1">
      <alignment vertical="center"/>
    </xf>
    <xf numFmtId="0" fontId="28" fillId="0" borderId="4" xfId="0" applyFont="1" applyBorder="1"/>
    <xf numFmtId="0" fontId="28" fillId="0" borderId="4" xfId="0" applyFont="1" applyBorder="1" applyAlignment="1">
      <alignment horizontal="left"/>
    </xf>
    <xf numFmtId="0" fontId="2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wrapText="1"/>
    </xf>
    <xf numFmtId="0" fontId="28" fillId="0" borderId="4" xfId="0" applyFont="1" applyBorder="1" applyAlignment="1">
      <alignment horizontal="center"/>
    </xf>
    <xf numFmtId="2" fontId="28" fillId="2" borderId="4" xfId="0" applyNumberFormat="1" applyFont="1" applyFill="1" applyBorder="1" applyAlignment="1">
      <alignment horizontal="right" wrapText="1"/>
    </xf>
    <xf numFmtId="0" fontId="28" fillId="0" borderId="3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2" fontId="0" fillId="0" borderId="10" xfId="0" applyNumberFormat="1" applyBorder="1"/>
    <xf numFmtId="0" fontId="0" fillId="0" borderId="0" xfId="0" applyAlignment="1">
      <alignment horizontal="right"/>
    </xf>
    <xf numFmtId="2" fontId="0" fillId="0" borderId="11" xfId="0" applyNumberFormat="1" applyBorder="1"/>
    <xf numFmtId="0" fontId="8" fillId="0" borderId="1" xfId="0" applyFont="1" applyBorder="1" applyAlignment="1">
      <alignment horizontal="left" vertical="center" wrapText="1"/>
    </xf>
    <xf numFmtId="4" fontId="8" fillId="0" borderId="0" xfId="1" applyNumberFormat="1" applyFont="1" applyBorder="1" applyAlignment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13" fillId="0" borderId="0" xfId="0" applyNumberFormat="1" applyFont="1"/>
    <xf numFmtId="2" fontId="13" fillId="0" borderId="12" xfId="0" applyNumberFormat="1" applyFont="1" applyBorder="1"/>
    <xf numFmtId="2" fontId="13" fillId="0" borderId="13" xfId="0" applyNumberFormat="1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X32"/>
  <sheetViews>
    <sheetView topLeftCell="A8" workbookViewId="0">
      <selection activeCell="J28" sqref="J28"/>
    </sheetView>
  </sheetViews>
  <sheetFormatPr baseColWidth="10" defaultRowHeight="15"/>
  <cols>
    <col min="1" max="1" width="3.140625" customWidth="1"/>
    <col min="2" max="2" width="10.85546875" customWidth="1"/>
    <col min="3" max="3" width="31.5703125" customWidth="1"/>
    <col min="4" max="4" width="11.42578125" hidden="1" customWidth="1"/>
    <col min="5" max="5" width="4" style="9" hidden="1" customWidth="1"/>
    <col min="6" max="6" width="18" customWidth="1"/>
    <col min="7" max="7" width="9.85546875" bestFit="1" customWidth="1"/>
    <col min="8" max="8" width="7.5703125" customWidth="1"/>
    <col min="9" max="9" width="0.140625" hidden="1" customWidth="1"/>
    <col min="10" max="10" width="5" customWidth="1"/>
    <col min="11" max="11" width="8.8554687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8.5703125" customWidth="1"/>
    <col min="21" max="21" width="9.28515625" customWidth="1"/>
    <col min="22" max="22" width="16.425781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15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7.25" customHeight="1">
      <c r="A6" s="237" t="s">
        <v>90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3.25" customHeight="1">
      <c r="A11" s="14">
        <v>1</v>
      </c>
      <c r="B11" s="41" t="s">
        <v>29</v>
      </c>
      <c r="C11" s="41" t="s">
        <v>60</v>
      </c>
      <c r="D11" s="42"/>
      <c r="E11" s="14"/>
      <c r="F11" s="41" t="s">
        <v>30</v>
      </c>
      <c r="G11" s="30">
        <v>43846</v>
      </c>
      <c r="H11" s="40">
        <v>6</v>
      </c>
      <c r="J11" s="15">
        <v>14</v>
      </c>
      <c r="K11" s="38">
        <f>2970.49/30*14</f>
        <v>1386.2286666666664</v>
      </c>
      <c r="L11" s="38"/>
      <c r="M11" s="43">
        <v>0</v>
      </c>
      <c r="N11" s="38">
        <f>K11+M11</f>
        <v>1386.2286666666664</v>
      </c>
      <c r="O11" s="38">
        <f t="shared" ref="O11:O27" si="0">+N11*0.1</f>
        <v>138.62286666666665</v>
      </c>
      <c r="P11" s="38">
        <f>+N11*0.0171</f>
        <v>23.704510199999998</v>
      </c>
      <c r="Q11" s="38">
        <f t="shared" ref="Q11:Q27" si="1">+N11*0.005</f>
        <v>6.9311433333333321</v>
      </c>
      <c r="R11" s="38">
        <f t="shared" ref="R11:R27" si="2">N11*0.5%</f>
        <v>6.9311433333333321</v>
      </c>
      <c r="S11" s="43">
        <v>0</v>
      </c>
      <c r="T11" s="43">
        <f t="shared" ref="T11:T27" si="3">+O11+P11+Q11+R11+S11</f>
        <v>176.18966353333329</v>
      </c>
      <c r="U11" s="43">
        <f t="shared" ref="U11:U27" si="4">+N11-T11</f>
        <v>1210.0390031333332</v>
      </c>
      <c r="V11" s="44"/>
      <c r="X11" s="45"/>
    </row>
    <row r="12" spans="1:24" ht="23.25" customHeight="1">
      <c r="A12" s="14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43846</v>
      </c>
      <c r="H12" s="40">
        <v>5</v>
      </c>
      <c r="J12" s="15">
        <v>14</v>
      </c>
      <c r="K12" s="38">
        <f>70.7333333333333*14</f>
        <v>990.26666666666631</v>
      </c>
      <c r="L12" s="38"/>
      <c r="M12" s="43">
        <v>0</v>
      </c>
      <c r="N12" s="38">
        <f t="shared" ref="N12:N27" si="5">K12+M12</f>
        <v>990.26666666666631</v>
      </c>
      <c r="O12" s="38">
        <f t="shared" si="0"/>
        <v>99.026666666666642</v>
      </c>
      <c r="P12" s="38">
        <f t="shared" ref="P12:P27" si="6">+N12*0.0171</f>
        <v>16.933559999999993</v>
      </c>
      <c r="Q12" s="38">
        <f t="shared" si="1"/>
        <v>4.9513333333333316</v>
      </c>
      <c r="R12" s="38">
        <f t="shared" si="2"/>
        <v>4.9513333333333316</v>
      </c>
      <c r="S12" s="43">
        <v>0</v>
      </c>
      <c r="T12" s="43">
        <f t="shared" si="3"/>
        <v>125.86289333333332</v>
      </c>
      <c r="U12" s="43">
        <f t="shared" si="4"/>
        <v>864.40377333333299</v>
      </c>
      <c r="V12" s="44"/>
      <c r="X12" s="45"/>
    </row>
    <row r="13" spans="1:24" ht="23.25" customHeight="1">
      <c r="A13" s="14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43846</v>
      </c>
      <c r="H13" s="40">
        <v>6</v>
      </c>
      <c r="J13" s="15">
        <v>14</v>
      </c>
      <c r="K13" s="38">
        <f>3560.54/30*14</f>
        <v>1661.5853333333334</v>
      </c>
      <c r="L13" s="38"/>
      <c r="M13" s="43">
        <v>0</v>
      </c>
      <c r="N13" s="38">
        <f t="shared" si="5"/>
        <v>1661.5853333333334</v>
      </c>
      <c r="O13" s="38">
        <f t="shared" si="0"/>
        <v>166.15853333333337</v>
      </c>
      <c r="P13" s="38">
        <f t="shared" si="6"/>
        <v>28.413109200000005</v>
      </c>
      <c r="Q13" s="38">
        <f t="shared" si="1"/>
        <v>8.3079266666666669</v>
      </c>
      <c r="R13" s="38">
        <f t="shared" si="2"/>
        <v>8.3079266666666669</v>
      </c>
      <c r="S13" s="43">
        <v>0</v>
      </c>
      <c r="T13" s="43">
        <f t="shared" si="3"/>
        <v>211.18749586666672</v>
      </c>
      <c r="U13" s="43">
        <f t="shared" si="4"/>
        <v>1450.3978374666667</v>
      </c>
      <c r="V13" s="44"/>
      <c r="X13" s="45"/>
    </row>
    <row r="14" spans="1:24" ht="23.25" customHeight="1">
      <c r="A14" s="14">
        <v>4</v>
      </c>
      <c r="B14" s="41" t="s">
        <v>79</v>
      </c>
      <c r="C14" s="41" t="s">
        <v>80</v>
      </c>
      <c r="D14" s="42"/>
      <c r="E14" s="14"/>
      <c r="F14" s="41" t="s">
        <v>81</v>
      </c>
      <c r="G14" s="30">
        <v>43846</v>
      </c>
      <c r="H14" s="40">
        <v>6</v>
      </c>
      <c r="J14" s="15">
        <v>14</v>
      </c>
      <c r="K14" s="38">
        <f>81.4666666666667*14</f>
        <v>1140.5333333333338</v>
      </c>
      <c r="L14" s="38"/>
      <c r="M14" s="43">
        <v>0</v>
      </c>
      <c r="N14" s="38">
        <f t="shared" si="5"/>
        <v>1140.5333333333338</v>
      </c>
      <c r="O14" s="38">
        <f t="shared" si="0"/>
        <v>114.05333333333338</v>
      </c>
      <c r="P14" s="38">
        <f t="shared" si="6"/>
        <v>19.503120000000006</v>
      </c>
      <c r="Q14" s="38">
        <f t="shared" si="1"/>
        <v>5.7026666666666692</v>
      </c>
      <c r="R14" s="38">
        <f t="shared" si="2"/>
        <v>5.7026666666666692</v>
      </c>
      <c r="S14" s="43">
        <v>0</v>
      </c>
      <c r="T14" s="43">
        <f t="shared" si="3"/>
        <v>144.96178666666671</v>
      </c>
      <c r="U14" s="43">
        <f t="shared" si="4"/>
        <v>995.57154666666702</v>
      </c>
      <c r="V14" s="44"/>
      <c r="X14" s="45"/>
    </row>
    <row r="15" spans="1:24" ht="23.25" customHeight="1">
      <c r="A15" s="14">
        <v>5</v>
      </c>
      <c r="B15" s="41" t="s">
        <v>19</v>
      </c>
      <c r="C15" s="41" t="s">
        <v>20</v>
      </c>
      <c r="D15" s="42">
        <v>22218</v>
      </c>
      <c r="E15" s="14" t="s">
        <v>18</v>
      </c>
      <c r="F15" s="41" t="s">
        <v>21</v>
      </c>
      <c r="G15" s="30">
        <v>43846</v>
      </c>
      <c r="H15" s="40">
        <v>5</v>
      </c>
      <c r="I15">
        <f t="shared" ref="I15" si="7">VALUE(MID(H15,1,2))</f>
        <v>5</v>
      </c>
      <c r="J15" s="15">
        <v>30</v>
      </c>
      <c r="K15" s="38">
        <v>2122</v>
      </c>
      <c r="L15" s="38"/>
      <c r="M15" s="43">
        <v>0</v>
      </c>
      <c r="N15" s="38">
        <f t="shared" si="5"/>
        <v>2122</v>
      </c>
      <c r="O15" s="38">
        <f t="shared" si="0"/>
        <v>212.20000000000002</v>
      </c>
      <c r="P15" s="38">
        <f t="shared" si="6"/>
        <v>36.286200000000001</v>
      </c>
      <c r="Q15" s="38">
        <f t="shared" si="1"/>
        <v>10.61</v>
      </c>
      <c r="R15" s="38">
        <f t="shared" si="2"/>
        <v>10.61</v>
      </c>
      <c r="S15" s="43">
        <v>0</v>
      </c>
      <c r="T15" s="43">
        <f t="shared" si="3"/>
        <v>269.70620000000002</v>
      </c>
      <c r="U15" s="43">
        <f t="shared" si="4"/>
        <v>1852.2937999999999</v>
      </c>
      <c r="V15" s="44"/>
      <c r="X15" s="45"/>
    </row>
    <row r="16" spans="1:24" ht="23.25" customHeight="1">
      <c r="A16" s="14">
        <v>6</v>
      </c>
      <c r="B16" s="41" t="s">
        <v>69</v>
      </c>
      <c r="C16" s="41" t="s">
        <v>70</v>
      </c>
      <c r="D16" s="42"/>
      <c r="E16" s="14"/>
      <c r="F16" s="41" t="s">
        <v>71</v>
      </c>
      <c r="G16" s="30">
        <v>43846</v>
      </c>
      <c r="H16" s="40">
        <v>6</v>
      </c>
      <c r="J16" s="15">
        <v>14</v>
      </c>
      <c r="K16" s="38">
        <f>70.7333333333333*14</f>
        <v>990.26666666666631</v>
      </c>
      <c r="L16" s="38"/>
      <c r="M16" s="43">
        <v>0</v>
      </c>
      <c r="N16" s="38">
        <f t="shared" si="5"/>
        <v>990.26666666666631</v>
      </c>
      <c r="O16" s="38">
        <f t="shared" si="0"/>
        <v>99.026666666666642</v>
      </c>
      <c r="P16" s="38">
        <f t="shared" si="6"/>
        <v>16.933559999999993</v>
      </c>
      <c r="Q16" s="38">
        <f t="shared" si="1"/>
        <v>4.9513333333333316</v>
      </c>
      <c r="R16" s="38">
        <f t="shared" si="2"/>
        <v>4.9513333333333316</v>
      </c>
      <c r="S16" s="43">
        <v>0</v>
      </c>
      <c r="T16" s="43">
        <f t="shared" si="3"/>
        <v>125.86289333333332</v>
      </c>
      <c r="U16" s="43">
        <f t="shared" si="4"/>
        <v>864.40377333333299</v>
      </c>
      <c r="V16" s="44"/>
      <c r="X16" s="45"/>
    </row>
    <row r="17" spans="1:24" ht="23.25" customHeight="1">
      <c r="A17" s="14">
        <v>7</v>
      </c>
      <c r="B17" s="41" t="s">
        <v>45</v>
      </c>
      <c r="C17" s="41" t="s">
        <v>46</v>
      </c>
      <c r="D17" s="42"/>
      <c r="E17" s="14"/>
      <c r="F17" s="41" t="s">
        <v>47</v>
      </c>
      <c r="G17" s="30">
        <v>43101</v>
      </c>
      <c r="H17" s="40">
        <v>6</v>
      </c>
      <c r="J17" s="15">
        <v>30</v>
      </c>
      <c r="K17" s="38">
        <v>2142.4</v>
      </c>
      <c r="L17" s="38"/>
      <c r="M17" s="43">
        <v>318.3</v>
      </c>
      <c r="N17" s="38">
        <f t="shared" si="5"/>
        <v>2460.7000000000003</v>
      </c>
      <c r="O17" s="38">
        <f t="shared" si="0"/>
        <v>246.07000000000005</v>
      </c>
      <c r="P17" s="38">
        <f t="shared" si="6"/>
        <v>42.077970000000008</v>
      </c>
      <c r="Q17" s="38">
        <f t="shared" si="1"/>
        <v>12.303500000000001</v>
      </c>
      <c r="R17" s="38">
        <f t="shared" si="2"/>
        <v>12.303500000000001</v>
      </c>
      <c r="S17" s="43">
        <v>0</v>
      </c>
      <c r="T17" s="43">
        <f t="shared" si="3"/>
        <v>312.75497000000001</v>
      </c>
      <c r="U17" s="43">
        <f t="shared" si="4"/>
        <v>2147.9450300000003</v>
      </c>
      <c r="V17" s="44"/>
      <c r="X17" s="45"/>
    </row>
    <row r="18" spans="1:24" ht="23.25" customHeight="1">
      <c r="A18" s="14">
        <v>8</v>
      </c>
      <c r="B18" s="41" t="s">
        <v>31</v>
      </c>
      <c r="C18" s="41" t="s">
        <v>62</v>
      </c>
      <c r="D18" s="42"/>
      <c r="E18" s="14"/>
      <c r="F18" s="41" t="s">
        <v>32</v>
      </c>
      <c r="G18" s="30">
        <v>43846</v>
      </c>
      <c r="H18" s="40">
        <v>5</v>
      </c>
      <c r="J18" s="15">
        <v>14</v>
      </c>
      <c r="K18" s="38">
        <f>78.2666666666667*14</f>
        <v>1095.7333333333338</v>
      </c>
      <c r="L18" s="38"/>
      <c r="M18" s="43">
        <v>0</v>
      </c>
      <c r="N18" s="38">
        <f t="shared" si="5"/>
        <v>1095.7333333333338</v>
      </c>
      <c r="O18" s="38">
        <f t="shared" si="0"/>
        <v>109.57333333333338</v>
      </c>
      <c r="P18" s="38">
        <f t="shared" si="6"/>
        <v>18.737040000000007</v>
      </c>
      <c r="Q18" s="38">
        <f t="shared" si="1"/>
        <v>5.478666666666669</v>
      </c>
      <c r="R18" s="38">
        <f t="shared" si="2"/>
        <v>5.478666666666669</v>
      </c>
      <c r="S18" s="43">
        <v>0</v>
      </c>
      <c r="T18" s="43">
        <f t="shared" si="3"/>
        <v>139.26770666666673</v>
      </c>
      <c r="U18" s="43">
        <f t="shared" si="4"/>
        <v>956.46562666666705</v>
      </c>
      <c r="V18" s="44"/>
      <c r="X18" s="45"/>
    </row>
    <row r="19" spans="1:24" ht="23.25" customHeight="1">
      <c r="A19" s="14">
        <v>9</v>
      </c>
      <c r="B19" s="41" t="s">
        <v>52</v>
      </c>
      <c r="C19" s="41" t="s">
        <v>63</v>
      </c>
      <c r="D19" s="42"/>
      <c r="E19" s="14"/>
      <c r="F19" s="41" t="s">
        <v>28</v>
      </c>
      <c r="G19" s="30">
        <v>43846</v>
      </c>
      <c r="H19" s="40">
        <v>5</v>
      </c>
      <c r="J19" s="15">
        <v>30</v>
      </c>
      <c r="K19" s="38">
        <v>2122</v>
      </c>
      <c r="L19" s="38"/>
      <c r="M19" s="43">
        <v>0</v>
      </c>
      <c r="N19" s="38">
        <f t="shared" si="5"/>
        <v>2122</v>
      </c>
      <c r="O19" s="38">
        <f t="shared" si="0"/>
        <v>212.20000000000002</v>
      </c>
      <c r="P19" s="38">
        <f t="shared" si="6"/>
        <v>36.286200000000001</v>
      </c>
      <c r="Q19" s="38">
        <f t="shared" si="1"/>
        <v>10.61</v>
      </c>
      <c r="R19" s="38">
        <f t="shared" si="2"/>
        <v>10.61</v>
      </c>
      <c r="S19" s="43">
        <v>0</v>
      </c>
      <c r="T19" s="43">
        <f t="shared" si="3"/>
        <v>269.70620000000002</v>
      </c>
      <c r="U19" s="43">
        <f t="shared" si="4"/>
        <v>1852.2937999999999</v>
      </c>
      <c r="V19" s="44"/>
      <c r="X19" s="45"/>
    </row>
    <row r="20" spans="1:24" ht="23.25" customHeight="1">
      <c r="A20" s="14">
        <v>10</v>
      </c>
      <c r="B20" s="41" t="s">
        <v>82</v>
      </c>
      <c r="C20" s="41" t="s">
        <v>83</v>
      </c>
      <c r="D20" s="42"/>
      <c r="E20" s="14"/>
      <c r="F20" s="41" t="s">
        <v>36</v>
      </c>
      <c r="G20" s="30">
        <v>43846</v>
      </c>
      <c r="H20" s="40">
        <v>4</v>
      </c>
      <c r="J20" s="15">
        <v>14</v>
      </c>
      <c r="K20" s="38">
        <f>70.7333333333333*14</f>
        <v>990.26666666666631</v>
      </c>
      <c r="L20" s="38"/>
      <c r="M20" s="43">
        <v>0</v>
      </c>
      <c r="N20" s="38">
        <f t="shared" si="5"/>
        <v>990.26666666666631</v>
      </c>
      <c r="O20" s="38">
        <f t="shared" si="0"/>
        <v>99.026666666666642</v>
      </c>
      <c r="P20" s="38">
        <f t="shared" si="6"/>
        <v>16.933559999999993</v>
      </c>
      <c r="Q20" s="38">
        <f t="shared" si="1"/>
        <v>4.9513333333333316</v>
      </c>
      <c r="R20" s="38">
        <f t="shared" si="2"/>
        <v>4.9513333333333316</v>
      </c>
      <c r="S20" s="43">
        <v>0</v>
      </c>
      <c r="T20" s="43">
        <f t="shared" si="3"/>
        <v>125.86289333333332</v>
      </c>
      <c r="U20" s="43">
        <f t="shared" si="4"/>
        <v>864.40377333333299</v>
      </c>
      <c r="V20" s="44"/>
      <c r="X20" s="45"/>
    </row>
    <row r="21" spans="1:24" ht="23.25" customHeight="1">
      <c r="A21" s="14">
        <v>11</v>
      </c>
      <c r="B21" s="41" t="s">
        <v>35</v>
      </c>
      <c r="C21" s="41" t="s">
        <v>64</v>
      </c>
      <c r="D21" s="42"/>
      <c r="E21" s="14"/>
      <c r="F21" s="41" t="s">
        <v>36</v>
      </c>
      <c r="G21" s="30">
        <v>43846</v>
      </c>
      <c r="H21" s="40">
        <v>4</v>
      </c>
      <c r="J21" s="15">
        <v>14</v>
      </c>
      <c r="K21" s="38">
        <f>2272.42/30*14</f>
        <v>1060.4626666666666</v>
      </c>
      <c r="L21" s="38"/>
      <c r="M21" s="43">
        <v>0</v>
      </c>
      <c r="N21" s="38">
        <f t="shared" si="5"/>
        <v>1060.4626666666666</v>
      </c>
      <c r="O21" s="38">
        <f t="shared" si="0"/>
        <v>106.04626666666667</v>
      </c>
      <c r="P21" s="38">
        <f t="shared" si="6"/>
        <v>18.133911599999998</v>
      </c>
      <c r="Q21" s="38">
        <f t="shared" si="1"/>
        <v>5.3023133333333332</v>
      </c>
      <c r="R21" s="38">
        <f t="shared" si="2"/>
        <v>5.3023133333333332</v>
      </c>
      <c r="S21" s="43">
        <v>0</v>
      </c>
      <c r="T21" s="43">
        <f t="shared" si="3"/>
        <v>134.78480493333333</v>
      </c>
      <c r="U21" s="43">
        <f t="shared" si="4"/>
        <v>925.6778617333332</v>
      </c>
      <c r="V21" s="44"/>
      <c r="X21" s="45"/>
    </row>
    <row r="22" spans="1:24" ht="23.25" customHeight="1">
      <c r="A22" s="14">
        <v>12</v>
      </c>
      <c r="B22" s="41" t="s">
        <v>42</v>
      </c>
      <c r="C22" s="41" t="s">
        <v>65</v>
      </c>
      <c r="D22" s="42"/>
      <c r="E22" s="14"/>
      <c r="F22" s="41" t="s">
        <v>36</v>
      </c>
      <c r="G22" s="30">
        <v>43846</v>
      </c>
      <c r="H22" s="40">
        <v>4</v>
      </c>
      <c r="J22" s="15">
        <v>14</v>
      </c>
      <c r="K22" s="38">
        <f>70.7333333333333*14</f>
        <v>990.26666666666631</v>
      </c>
      <c r="L22" s="38"/>
      <c r="M22" s="43">
        <v>0</v>
      </c>
      <c r="N22" s="38">
        <f t="shared" si="5"/>
        <v>990.26666666666631</v>
      </c>
      <c r="O22" s="38">
        <f t="shared" si="0"/>
        <v>99.026666666666642</v>
      </c>
      <c r="P22" s="38">
        <f t="shared" si="6"/>
        <v>16.933559999999993</v>
      </c>
      <c r="Q22" s="38">
        <f t="shared" si="1"/>
        <v>4.9513333333333316</v>
      </c>
      <c r="R22" s="38">
        <f t="shared" si="2"/>
        <v>4.9513333333333316</v>
      </c>
      <c r="S22" s="43">
        <v>0</v>
      </c>
      <c r="T22" s="43">
        <f t="shared" si="3"/>
        <v>125.86289333333332</v>
      </c>
      <c r="U22" s="43">
        <f t="shared" si="4"/>
        <v>864.40377333333299</v>
      </c>
      <c r="V22" s="44"/>
      <c r="X22" s="45"/>
    </row>
    <row r="23" spans="1:24" ht="23.25" customHeight="1">
      <c r="A23" s="14">
        <v>13</v>
      </c>
      <c r="B23" s="41" t="s">
        <v>77</v>
      </c>
      <c r="C23" s="41" t="s">
        <v>78</v>
      </c>
      <c r="D23" s="42"/>
      <c r="E23" s="14"/>
      <c r="F23" s="41" t="s">
        <v>32</v>
      </c>
      <c r="G23" s="30">
        <v>43846</v>
      </c>
      <c r="H23" s="40">
        <v>5</v>
      </c>
      <c r="J23" s="15">
        <v>14</v>
      </c>
      <c r="K23" s="38">
        <f>70.7333333333333*14</f>
        <v>990.26666666666631</v>
      </c>
      <c r="L23" s="38"/>
      <c r="M23" s="43">
        <v>0</v>
      </c>
      <c r="N23" s="38">
        <f t="shared" si="5"/>
        <v>990.26666666666631</v>
      </c>
      <c r="O23" s="38">
        <f t="shared" si="0"/>
        <v>99.026666666666642</v>
      </c>
      <c r="P23" s="38">
        <f t="shared" si="6"/>
        <v>16.933559999999993</v>
      </c>
      <c r="Q23" s="38">
        <f t="shared" si="1"/>
        <v>4.9513333333333316</v>
      </c>
      <c r="R23" s="38">
        <f t="shared" si="2"/>
        <v>4.9513333333333316</v>
      </c>
      <c r="S23" s="43">
        <v>0</v>
      </c>
      <c r="T23" s="43">
        <f t="shared" si="3"/>
        <v>125.86289333333332</v>
      </c>
      <c r="U23" s="43">
        <f t="shared" si="4"/>
        <v>864.40377333333299</v>
      </c>
      <c r="V23" s="44"/>
      <c r="X23" s="45"/>
    </row>
    <row r="24" spans="1:24" ht="23.25" customHeight="1">
      <c r="A24" s="14">
        <v>14</v>
      </c>
      <c r="B24" s="41" t="s">
        <v>41</v>
      </c>
      <c r="C24" s="41" t="s">
        <v>72</v>
      </c>
      <c r="D24" s="42"/>
      <c r="E24" s="14"/>
      <c r="F24" s="41" t="s">
        <v>73</v>
      </c>
      <c r="G24" s="30">
        <v>43846</v>
      </c>
      <c r="H24" s="40">
        <v>6</v>
      </c>
      <c r="J24" s="15">
        <v>14</v>
      </c>
      <c r="K24" s="38">
        <f>70.7333333333333*14</f>
        <v>990.26666666666631</v>
      </c>
      <c r="L24" s="38"/>
      <c r="M24" s="43">
        <v>0</v>
      </c>
      <c r="N24" s="38">
        <f t="shared" si="5"/>
        <v>990.26666666666631</v>
      </c>
      <c r="O24" s="38">
        <f t="shared" si="0"/>
        <v>99.026666666666642</v>
      </c>
      <c r="P24" s="38">
        <f t="shared" si="6"/>
        <v>16.933559999999993</v>
      </c>
      <c r="Q24" s="38">
        <f t="shared" si="1"/>
        <v>4.9513333333333316</v>
      </c>
      <c r="R24" s="38">
        <f t="shared" si="2"/>
        <v>4.9513333333333316</v>
      </c>
      <c r="S24" s="43">
        <v>0</v>
      </c>
      <c r="T24" s="43">
        <f t="shared" si="3"/>
        <v>125.86289333333332</v>
      </c>
      <c r="U24" s="43">
        <f t="shared" si="4"/>
        <v>864.40377333333299</v>
      </c>
      <c r="V24" s="44"/>
      <c r="X24" s="45"/>
    </row>
    <row r="25" spans="1:24" ht="23.25" customHeight="1">
      <c r="A25" s="14">
        <v>15</v>
      </c>
      <c r="B25" s="41" t="s">
        <v>50</v>
      </c>
      <c r="C25" s="41" t="s">
        <v>66</v>
      </c>
      <c r="D25" s="42"/>
      <c r="E25" s="14"/>
      <c r="F25" s="41" t="s">
        <v>51</v>
      </c>
      <c r="G25" s="30">
        <v>43846</v>
      </c>
      <c r="H25" s="40">
        <v>5</v>
      </c>
      <c r="J25" s="15">
        <v>14</v>
      </c>
      <c r="K25" s="38">
        <f t="shared" ref="K25" si="8">70.7333333333333*14</f>
        <v>990.26666666666631</v>
      </c>
      <c r="L25" s="38"/>
      <c r="M25" s="43">
        <v>0</v>
      </c>
      <c r="N25" s="38">
        <f t="shared" si="5"/>
        <v>990.26666666666631</v>
      </c>
      <c r="O25" s="38">
        <f t="shared" si="0"/>
        <v>99.026666666666642</v>
      </c>
      <c r="P25" s="38">
        <f t="shared" si="6"/>
        <v>16.933559999999993</v>
      </c>
      <c r="Q25" s="38">
        <f t="shared" si="1"/>
        <v>4.9513333333333316</v>
      </c>
      <c r="R25" s="38">
        <f t="shared" si="2"/>
        <v>4.9513333333333316</v>
      </c>
      <c r="S25" s="43">
        <v>0</v>
      </c>
      <c r="T25" s="43">
        <f t="shared" si="3"/>
        <v>125.86289333333332</v>
      </c>
      <c r="U25" s="43">
        <f t="shared" si="4"/>
        <v>864.40377333333299</v>
      </c>
      <c r="V25" s="44"/>
      <c r="X25" s="45"/>
    </row>
    <row r="26" spans="1:24" ht="23.25" customHeight="1">
      <c r="A26" s="14">
        <v>16</v>
      </c>
      <c r="B26" s="41" t="s">
        <v>43</v>
      </c>
      <c r="C26" s="41" t="s">
        <v>84</v>
      </c>
      <c r="D26" s="42"/>
      <c r="E26" s="14"/>
      <c r="F26" s="41" t="s">
        <v>36</v>
      </c>
      <c r="G26" s="30">
        <v>43846</v>
      </c>
      <c r="H26" s="40">
        <v>4</v>
      </c>
      <c r="J26" s="15">
        <v>30</v>
      </c>
      <c r="K26" s="38">
        <v>2122</v>
      </c>
      <c r="L26" s="38"/>
      <c r="M26" s="43">
        <v>0</v>
      </c>
      <c r="N26" s="38">
        <f t="shared" si="5"/>
        <v>2122</v>
      </c>
      <c r="O26" s="38">
        <f t="shared" si="0"/>
        <v>212.20000000000002</v>
      </c>
      <c r="P26" s="38">
        <f t="shared" si="6"/>
        <v>36.286200000000001</v>
      </c>
      <c r="Q26" s="38">
        <f t="shared" si="1"/>
        <v>10.61</v>
      </c>
      <c r="R26" s="38">
        <f t="shared" si="2"/>
        <v>10.61</v>
      </c>
      <c r="S26" s="43">
        <v>0</v>
      </c>
      <c r="T26" s="43">
        <f t="shared" si="3"/>
        <v>269.70620000000002</v>
      </c>
      <c r="U26" s="43">
        <f t="shared" si="4"/>
        <v>1852.2937999999999</v>
      </c>
      <c r="V26" s="44"/>
      <c r="X26" s="45"/>
    </row>
    <row r="27" spans="1:24" ht="23.25" customHeight="1">
      <c r="A27" s="14">
        <v>17</v>
      </c>
      <c r="B27" s="41" t="s">
        <v>37</v>
      </c>
      <c r="C27" s="41" t="s">
        <v>38</v>
      </c>
      <c r="D27" s="42"/>
      <c r="E27" s="14"/>
      <c r="F27" s="41" t="s">
        <v>34</v>
      </c>
      <c r="G27" s="30">
        <v>43846</v>
      </c>
      <c r="H27" s="40">
        <v>5</v>
      </c>
      <c r="I27">
        <f t="shared" ref="I27" si="9">VALUE(MID(H27,1,2))</f>
        <v>5</v>
      </c>
      <c r="J27" s="15">
        <v>30</v>
      </c>
      <c r="K27" s="38">
        <v>2122</v>
      </c>
      <c r="L27" s="38"/>
      <c r="M27" s="43">
        <v>0</v>
      </c>
      <c r="N27" s="38">
        <f t="shared" si="5"/>
        <v>2122</v>
      </c>
      <c r="O27" s="38">
        <f t="shared" si="0"/>
        <v>212.20000000000002</v>
      </c>
      <c r="P27" s="38">
        <f t="shared" si="6"/>
        <v>36.286200000000001</v>
      </c>
      <c r="Q27" s="38">
        <f t="shared" si="1"/>
        <v>10.61</v>
      </c>
      <c r="R27" s="38">
        <f t="shared" si="2"/>
        <v>10.61</v>
      </c>
      <c r="S27" s="43">
        <v>0</v>
      </c>
      <c r="T27" s="43">
        <f t="shared" si="3"/>
        <v>269.70620000000002</v>
      </c>
      <c r="U27" s="43">
        <f t="shared" si="4"/>
        <v>1852.2937999999999</v>
      </c>
      <c r="V27" s="44"/>
      <c r="X27" s="45"/>
    </row>
    <row r="28" spans="1:24" s="18" customFormat="1" ht="21" customHeight="1">
      <c r="A28" s="33"/>
      <c r="B28" s="34"/>
      <c r="C28" s="35" t="s">
        <v>22</v>
      </c>
      <c r="D28" s="34"/>
      <c r="E28" s="36"/>
      <c r="F28" s="34"/>
      <c r="G28" s="34"/>
      <c r="H28" s="31"/>
      <c r="I28" s="31"/>
      <c r="J28" s="37"/>
      <c r="K28" s="32">
        <f t="shared" ref="K28:U28" si="10">SUM(K11:K27)</f>
        <v>23906.809999999998</v>
      </c>
      <c r="L28" s="32"/>
      <c r="M28" s="32">
        <f t="shared" si="10"/>
        <v>318.3</v>
      </c>
      <c r="N28" s="32">
        <f t="shared" si="10"/>
        <v>24225.109999999997</v>
      </c>
      <c r="O28" s="32">
        <f t="shared" si="10"/>
        <v>2422.511</v>
      </c>
      <c r="P28" s="32">
        <f t="shared" si="10"/>
        <v>414.24938100000003</v>
      </c>
      <c r="Q28" s="32">
        <f t="shared" si="10"/>
        <v>121.12555</v>
      </c>
      <c r="R28" s="32">
        <f t="shared" si="10"/>
        <v>121.12555</v>
      </c>
      <c r="S28" s="32">
        <f t="shared" si="10"/>
        <v>0</v>
      </c>
      <c r="T28" s="32">
        <f t="shared" si="10"/>
        <v>3079.0114810000005</v>
      </c>
      <c r="U28" s="32">
        <f t="shared" si="10"/>
        <v>21146.098518999999</v>
      </c>
      <c r="V28" s="19"/>
    </row>
    <row r="29" spans="1:24" s="18" customFormat="1" ht="9.75" customHeight="1">
      <c r="A29"/>
      <c r="B29"/>
      <c r="C29"/>
      <c r="D29"/>
      <c r="E29" s="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s="23">
        <f>SUM(T28:T28)</f>
        <v>3079.0114810000005</v>
      </c>
      <c r="U29" s="23"/>
    </row>
    <row r="30" spans="1:24">
      <c r="N30" s="46"/>
    </row>
    <row r="31" spans="1:24" s="18" customForma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4" s="18" customFormat="1">
      <c r="A32"/>
      <c r="B32"/>
      <c r="C32"/>
      <c r="D32"/>
      <c r="E32" s="9"/>
      <c r="F32"/>
      <c r="G32"/>
      <c r="H32"/>
      <c r="I32"/>
      <c r="J32"/>
      <c r="K32" t="s">
        <v>91</v>
      </c>
      <c r="L32"/>
      <c r="M32"/>
      <c r="N32"/>
      <c r="O32"/>
      <c r="P32"/>
      <c r="Q32"/>
      <c r="R32"/>
      <c r="S32"/>
      <c r="T32"/>
      <c r="U32"/>
      <c r="V32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1:X32"/>
  <sheetViews>
    <sheetView topLeftCell="A17" workbookViewId="0">
      <selection activeCell="B25" sqref="B25:K25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15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7.25" customHeight="1">
      <c r="A6" s="237" t="s">
        <v>88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3.25" customHeight="1">
      <c r="A11" s="14">
        <v>1</v>
      </c>
      <c r="B11" s="41" t="s">
        <v>29</v>
      </c>
      <c r="C11" s="41" t="s">
        <v>60</v>
      </c>
      <c r="D11" s="42"/>
      <c r="E11" s="14"/>
      <c r="F11" s="41" t="s">
        <v>30</v>
      </c>
      <c r="G11" s="30">
        <v>43846</v>
      </c>
      <c r="H11" s="40">
        <v>6</v>
      </c>
      <c r="J11" s="15">
        <v>30</v>
      </c>
      <c r="K11" s="38">
        <v>2970.49</v>
      </c>
      <c r="L11" s="38"/>
      <c r="M11" s="43">
        <v>0</v>
      </c>
      <c r="N11" s="38">
        <f>K11+M11</f>
        <v>2970.49</v>
      </c>
      <c r="O11" s="38">
        <f t="shared" ref="O11:O27" si="0">+N11*0.1</f>
        <v>297.04899999999998</v>
      </c>
      <c r="P11" s="38">
        <f>+N11*0.0171</f>
        <v>50.795378999999997</v>
      </c>
      <c r="Q11" s="38">
        <f t="shared" ref="Q11:Q27" si="1">+N11*0.005</f>
        <v>14.852449999999999</v>
      </c>
      <c r="R11" s="38">
        <f t="shared" ref="R11:R27" si="2">N11*0.5%</f>
        <v>14.852449999999999</v>
      </c>
      <c r="S11" s="43">
        <v>0</v>
      </c>
      <c r="T11" s="43">
        <f t="shared" ref="T11:T27" si="3">+O11+P11+Q11+R11+S11</f>
        <v>377.54927899999996</v>
      </c>
      <c r="U11" s="43">
        <f t="shared" ref="U11:U27" si="4">+N11-T11</f>
        <v>2592.9407209999999</v>
      </c>
      <c r="V11" s="44"/>
      <c r="X11" s="45"/>
    </row>
    <row r="12" spans="1:24" ht="23.25" customHeight="1">
      <c r="A12" s="14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43846</v>
      </c>
      <c r="H12" s="40">
        <v>5</v>
      </c>
      <c r="J12" s="15">
        <v>30</v>
      </c>
      <c r="K12" s="38">
        <v>2122</v>
      </c>
      <c r="L12" s="38"/>
      <c r="M12" s="43">
        <v>0</v>
      </c>
      <c r="N12" s="38">
        <f t="shared" ref="N12:N27" si="5">K12+M12</f>
        <v>2122</v>
      </c>
      <c r="O12" s="38">
        <f t="shared" si="0"/>
        <v>212.20000000000002</v>
      </c>
      <c r="P12" s="38">
        <f t="shared" ref="P12:P27" si="6">+N12*0.0171</f>
        <v>36.286200000000001</v>
      </c>
      <c r="Q12" s="38">
        <f t="shared" si="1"/>
        <v>10.61</v>
      </c>
      <c r="R12" s="38">
        <f t="shared" si="2"/>
        <v>10.61</v>
      </c>
      <c r="S12" s="43">
        <v>0</v>
      </c>
      <c r="T12" s="43">
        <f t="shared" si="3"/>
        <v>269.70620000000002</v>
      </c>
      <c r="U12" s="43">
        <f t="shared" si="4"/>
        <v>1852.2937999999999</v>
      </c>
      <c r="V12" s="44"/>
      <c r="X12" s="45"/>
    </row>
    <row r="13" spans="1:24" ht="23.25" customHeight="1">
      <c r="A13" s="14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43846</v>
      </c>
      <c r="H13" s="40">
        <v>6</v>
      </c>
      <c r="J13" s="15">
        <v>30</v>
      </c>
      <c r="K13" s="38">
        <v>3560.54</v>
      </c>
      <c r="L13" s="38"/>
      <c r="M13" s="43">
        <v>0</v>
      </c>
      <c r="N13" s="38">
        <f t="shared" si="5"/>
        <v>3560.54</v>
      </c>
      <c r="O13" s="38">
        <f t="shared" si="0"/>
        <v>356.05400000000003</v>
      </c>
      <c r="P13" s="38">
        <f t="shared" si="6"/>
        <v>60.885234000000004</v>
      </c>
      <c r="Q13" s="38">
        <f t="shared" si="1"/>
        <v>17.802700000000002</v>
      </c>
      <c r="R13" s="38">
        <f t="shared" si="2"/>
        <v>17.802700000000002</v>
      </c>
      <c r="S13" s="43">
        <v>0</v>
      </c>
      <c r="T13" s="43">
        <f t="shared" si="3"/>
        <v>452.54463400000009</v>
      </c>
      <c r="U13" s="43">
        <f t="shared" si="4"/>
        <v>3107.9953660000001</v>
      </c>
      <c r="V13" s="44"/>
      <c r="X13" s="45"/>
    </row>
    <row r="14" spans="1:24" ht="23.25" customHeight="1">
      <c r="A14" s="14">
        <v>4</v>
      </c>
      <c r="B14" s="41" t="s">
        <v>79</v>
      </c>
      <c r="C14" s="41" t="s">
        <v>80</v>
      </c>
      <c r="D14" s="42"/>
      <c r="E14" s="14"/>
      <c r="F14" s="41" t="s">
        <v>81</v>
      </c>
      <c r="G14" s="30">
        <v>43846</v>
      </c>
      <c r="H14" s="40">
        <v>6</v>
      </c>
      <c r="J14" s="15">
        <v>30</v>
      </c>
      <c r="K14" s="38">
        <v>2444</v>
      </c>
      <c r="L14" s="38"/>
      <c r="M14" s="43">
        <v>0</v>
      </c>
      <c r="N14" s="38">
        <f t="shared" si="5"/>
        <v>2444</v>
      </c>
      <c r="O14" s="38">
        <f t="shared" si="0"/>
        <v>244.4</v>
      </c>
      <c r="P14" s="38">
        <f t="shared" si="6"/>
        <v>41.792400000000001</v>
      </c>
      <c r="Q14" s="38">
        <f t="shared" si="1"/>
        <v>12.22</v>
      </c>
      <c r="R14" s="38">
        <f t="shared" si="2"/>
        <v>12.22</v>
      </c>
      <c r="S14" s="43">
        <v>0</v>
      </c>
      <c r="T14" s="43">
        <f t="shared" si="3"/>
        <v>310.63240000000008</v>
      </c>
      <c r="U14" s="43">
        <f t="shared" si="4"/>
        <v>2133.3676</v>
      </c>
      <c r="V14" s="44"/>
      <c r="X14" s="45"/>
    </row>
    <row r="15" spans="1:24" ht="23.25" customHeight="1">
      <c r="A15" s="14">
        <v>5</v>
      </c>
      <c r="B15" s="41" t="s">
        <v>19</v>
      </c>
      <c r="C15" s="41" t="s">
        <v>20</v>
      </c>
      <c r="D15" s="42">
        <v>22218</v>
      </c>
      <c r="E15" s="14" t="s">
        <v>18</v>
      </c>
      <c r="F15" s="41" t="s">
        <v>21</v>
      </c>
      <c r="G15" s="30">
        <v>43846</v>
      </c>
      <c r="H15" s="40">
        <v>5</v>
      </c>
      <c r="I15">
        <f t="shared" ref="I15" si="7">VALUE(MID(H15,1,2))</f>
        <v>5</v>
      </c>
      <c r="J15" s="15">
        <v>30</v>
      </c>
      <c r="K15" s="38">
        <v>2122</v>
      </c>
      <c r="L15" s="38"/>
      <c r="M15" s="43">
        <v>0</v>
      </c>
      <c r="N15" s="38">
        <f t="shared" si="5"/>
        <v>2122</v>
      </c>
      <c r="O15" s="38">
        <f t="shared" si="0"/>
        <v>212.20000000000002</v>
      </c>
      <c r="P15" s="38">
        <f t="shared" si="6"/>
        <v>36.286200000000001</v>
      </c>
      <c r="Q15" s="38">
        <f t="shared" si="1"/>
        <v>10.61</v>
      </c>
      <c r="R15" s="38">
        <f t="shared" si="2"/>
        <v>10.61</v>
      </c>
      <c r="S15" s="43">
        <v>0</v>
      </c>
      <c r="T15" s="43">
        <f t="shared" si="3"/>
        <v>269.70620000000002</v>
      </c>
      <c r="U15" s="43">
        <f t="shared" si="4"/>
        <v>1852.2937999999999</v>
      </c>
      <c r="V15" s="44"/>
      <c r="X15" s="45"/>
    </row>
    <row r="16" spans="1:24" ht="23.25" customHeight="1">
      <c r="A16" s="14">
        <v>6</v>
      </c>
      <c r="B16" s="41" t="s">
        <v>69</v>
      </c>
      <c r="C16" s="41" t="s">
        <v>70</v>
      </c>
      <c r="D16" s="42"/>
      <c r="E16" s="14"/>
      <c r="F16" s="41" t="s">
        <v>71</v>
      </c>
      <c r="G16" s="30">
        <v>43846</v>
      </c>
      <c r="H16" s="40">
        <v>6</v>
      </c>
      <c r="J16" s="15">
        <v>30</v>
      </c>
      <c r="K16" s="38">
        <v>2122</v>
      </c>
      <c r="L16" s="38"/>
      <c r="M16" s="43">
        <v>0</v>
      </c>
      <c r="N16" s="38">
        <f t="shared" si="5"/>
        <v>2122</v>
      </c>
      <c r="O16" s="38">
        <f t="shared" si="0"/>
        <v>212.20000000000002</v>
      </c>
      <c r="P16" s="38">
        <f t="shared" si="6"/>
        <v>36.286200000000001</v>
      </c>
      <c r="Q16" s="38">
        <f t="shared" si="1"/>
        <v>10.61</v>
      </c>
      <c r="R16" s="38">
        <f t="shared" si="2"/>
        <v>10.61</v>
      </c>
      <c r="S16" s="43">
        <v>0</v>
      </c>
      <c r="T16" s="43">
        <f t="shared" si="3"/>
        <v>269.70620000000002</v>
      </c>
      <c r="U16" s="43">
        <f t="shared" si="4"/>
        <v>1852.2937999999999</v>
      </c>
      <c r="V16" s="44"/>
      <c r="X16" s="45"/>
    </row>
    <row r="17" spans="1:24" ht="23.25" customHeight="1">
      <c r="A17" s="14">
        <v>7</v>
      </c>
      <c r="B17" s="41" t="s">
        <v>45</v>
      </c>
      <c r="C17" s="41" t="s">
        <v>46</v>
      </c>
      <c r="D17" s="42"/>
      <c r="E17" s="14"/>
      <c r="F17" s="41" t="s">
        <v>47</v>
      </c>
      <c r="G17" s="30">
        <v>43101</v>
      </c>
      <c r="H17" s="40">
        <v>6</v>
      </c>
      <c r="J17" s="15">
        <v>30</v>
      </c>
      <c r="K17" s="38">
        <v>2142.4</v>
      </c>
      <c r="L17" s="38"/>
      <c r="M17" s="43">
        <v>318.3</v>
      </c>
      <c r="N17" s="38">
        <f t="shared" si="5"/>
        <v>2460.7000000000003</v>
      </c>
      <c r="O17" s="38">
        <f t="shared" si="0"/>
        <v>246.07000000000005</v>
      </c>
      <c r="P17" s="38">
        <f t="shared" si="6"/>
        <v>42.077970000000008</v>
      </c>
      <c r="Q17" s="38">
        <f t="shared" si="1"/>
        <v>12.303500000000001</v>
      </c>
      <c r="R17" s="38">
        <f t="shared" si="2"/>
        <v>12.303500000000001</v>
      </c>
      <c r="S17" s="43">
        <v>0</v>
      </c>
      <c r="T17" s="43">
        <f t="shared" si="3"/>
        <v>312.75497000000001</v>
      </c>
      <c r="U17" s="43">
        <f t="shared" si="4"/>
        <v>2147.9450300000003</v>
      </c>
      <c r="V17" s="44"/>
      <c r="X17" s="45"/>
    </row>
    <row r="18" spans="1:24" ht="23.25" customHeight="1">
      <c r="A18" s="14">
        <v>8</v>
      </c>
      <c r="B18" s="41" t="s">
        <v>31</v>
      </c>
      <c r="C18" s="41" t="s">
        <v>62</v>
      </c>
      <c r="D18" s="42"/>
      <c r="E18" s="14"/>
      <c r="F18" s="41" t="s">
        <v>32</v>
      </c>
      <c r="G18" s="30">
        <v>43846</v>
      </c>
      <c r="H18" s="40">
        <v>5</v>
      </c>
      <c r="J18" s="15">
        <v>30</v>
      </c>
      <c r="K18" s="38">
        <v>2348</v>
      </c>
      <c r="L18" s="38"/>
      <c r="M18" s="43">
        <v>0</v>
      </c>
      <c r="N18" s="38">
        <f t="shared" si="5"/>
        <v>2348</v>
      </c>
      <c r="O18" s="38">
        <f t="shared" si="0"/>
        <v>234.8</v>
      </c>
      <c r="P18" s="38">
        <f t="shared" si="6"/>
        <v>40.150800000000004</v>
      </c>
      <c r="Q18" s="38">
        <f t="shared" si="1"/>
        <v>11.74</v>
      </c>
      <c r="R18" s="38">
        <f t="shared" si="2"/>
        <v>11.74</v>
      </c>
      <c r="S18" s="43">
        <v>0</v>
      </c>
      <c r="T18" s="43">
        <f t="shared" si="3"/>
        <v>298.43080000000003</v>
      </c>
      <c r="U18" s="43">
        <f t="shared" si="4"/>
        <v>2049.5691999999999</v>
      </c>
      <c r="V18" s="44"/>
      <c r="X18" s="45"/>
    </row>
    <row r="19" spans="1:24" ht="23.25" customHeight="1">
      <c r="A19" s="14">
        <v>9</v>
      </c>
      <c r="B19" s="41" t="s">
        <v>52</v>
      </c>
      <c r="C19" s="41" t="s">
        <v>63</v>
      </c>
      <c r="D19" s="42"/>
      <c r="E19" s="14"/>
      <c r="F19" s="41" t="s">
        <v>40</v>
      </c>
      <c r="G19" s="30">
        <v>43846</v>
      </c>
      <c r="H19" s="40">
        <v>5</v>
      </c>
      <c r="J19" s="15">
        <v>30</v>
      </c>
      <c r="K19" s="38">
        <v>2122</v>
      </c>
      <c r="L19" s="38"/>
      <c r="M19" s="43">
        <v>0</v>
      </c>
      <c r="N19" s="38">
        <f t="shared" si="5"/>
        <v>2122</v>
      </c>
      <c r="O19" s="38">
        <f t="shared" si="0"/>
        <v>212.20000000000002</v>
      </c>
      <c r="P19" s="38">
        <f t="shared" si="6"/>
        <v>36.286200000000001</v>
      </c>
      <c r="Q19" s="38">
        <f t="shared" si="1"/>
        <v>10.61</v>
      </c>
      <c r="R19" s="38">
        <f t="shared" si="2"/>
        <v>10.61</v>
      </c>
      <c r="S19" s="43">
        <v>0</v>
      </c>
      <c r="T19" s="43">
        <f t="shared" si="3"/>
        <v>269.70620000000002</v>
      </c>
      <c r="U19" s="43">
        <f t="shared" si="4"/>
        <v>1852.2937999999999</v>
      </c>
      <c r="V19" s="44"/>
      <c r="X19" s="45"/>
    </row>
    <row r="20" spans="1:24" ht="23.25" customHeight="1">
      <c r="A20" s="14">
        <v>10</v>
      </c>
      <c r="B20" s="41" t="s">
        <v>82</v>
      </c>
      <c r="C20" s="41" t="s">
        <v>83</v>
      </c>
      <c r="D20" s="42"/>
      <c r="E20" s="14"/>
      <c r="F20" s="41" t="s">
        <v>36</v>
      </c>
      <c r="G20" s="30">
        <v>43846</v>
      </c>
      <c r="H20" s="40">
        <v>4</v>
      </c>
      <c r="J20" s="15">
        <v>30</v>
      </c>
      <c r="K20" s="38">
        <v>2122</v>
      </c>
      <c r="L20" s="38"/>
      <c r="M20" s="43">
        <v>0</v>
      </c>
      <c r="N20" s="38">
        <f t="shared" si="5"/>
        <v>2122</v>
      </c>
      <c r="O20" s="38">
        <f t="shared" si="0"/>
        <v>212.20000000000002</v>
      </c>
      <c r="P20" s="38">
        <f t="shared" si="6"/>
        <v>36.286200000000001</v>
      </c>
      <c r="Q20" s="38">
        <f t="shared" si="1"/>
        <v>10.61</v>
      </c>
      <c r="R20" s="38">
        <f t="shared" si="2"/>
        <v>10.61</v>
      </c>
      <c r="S20" s="43">
        <v>0</v>
      </c>
      <c r="T20" s="43">
        <f t="shared" si="3"/>
        <v>269.70620000000002</v>
      </c>
      <c r="U20" s="43">
        <f t="shared" si="4"/>
        <v>1852.2937999999999</v>
      </c>
      <c r="V20" s="44"/>
      <c r="X20" s="45"/>
    </row>
    <row r="21" spans="1:24" ht="23.25" customHeight="1">
      <c r="A21" s="14">
        <v>11</v>
      </c>
      <c r="B21" s="41" t="s">
        <v>35</v>
      </c>
      <c r="C21" s="41" t="s">
        <v>64</v>
      </c>
      <c r="D21" s="42"/>
      <c r="E21" s="14"/>
      <c r="F21" s="41" t="s">
        <v>36</v>
      </c>
      <c r="G21" s="30">
        <v>43846</v>
      </c>
      <c r="H21" s="40">
        <v>4</v>
      </c>
      <c r="J21" s="15">
        <v>30</v>
      </c>
      <c r="K21" s="38">
        <v>2272.42</v>
      </c>
      <c r="L21" s="38"/>
      <c r="M21" s="43">
        <v>0</v>
      </c>
      <c r="N21" s="38">
        <f t="shared" si="5"/>
        <v>2272.42</v>
      </c>
      <c r="O21" s="38">
        <f t="shared" si="0"/>
        <v>227.24200000000002</v>
      </c>
      <c r="P21" s="38">
        <f t="shared" si="6"/>
        <v>38.858382000000006</v>
      </c>
      <c r="Q21" s="38">
        <f t="shared" si="1"/>
        <v>11.3621</v>
      </c>
      <c r="R21" s="38">
        <f t="shared" si="2"/>
        <v>11.3621</v>
      </c>
      <c r="S21" s="43">
        <v>0</v>
      </c>
      <c r="T21" s="43">
        <f t="shared" si="3"/>
        <v>288.82458200000002</v>
      </c>
      <c r="U21" s="43">
        <f t="shared" si="4"/>
        <v>1983.5954180000001</v>
      </c>
      <c r="V21" s="44"/>
      <c r="X21" s="45"/>
    </row>
    <row r="22" spans="1:24" ht="23.25" customHeight="1">
      <c r="A22" s="14">
        <v>12</v>
      </c>
      <c r="B22" s="41" t="s">
        <v>42</v>
      </c>
      <c r="C22" s="41" t="s">
        <v>65</v>
      </c>
      <c r="D22" s="42"/>
      <c r="E22" s="14"/>
      <c r="F22" s="41" t="s">
        <v>36</v>
      </c>
      <c r="G22" s="30">
        <v>43846</v>
      </c>
      <c r="H22" s="40">
        <v>4</v>
      </c>
      <c r="J22" s="15">
        <v>30</v>
      </c>
      <c r="K22" s="38">
        <v>2122</v>
      </c>
      <c r="L22" s="38"/>
      <c r="M22" s="43">
        <v>0</v>
      </c>
      <c r="N22" s="38">
        <f t="shared" si="5"/>
        <v>2122</v>
      </c>
      <c r="O22" s="38">
        <f t="shared" si="0"/>
        <v>212.20000000000002</v>
      </c>
      <c r="P22" s="38">
        <f t="shared" si="6"/>
        <v>36.286200000000001</v>
      </c>
      <c r="Q22" s="38">
        <f t="shared" si="1"/>
        <v>10.61</v>
      </c>
      <c r="R22" s="38">
        <f t="shared" si="2"/>
        <v>10.61</v>
      </c>
      <c r="S22" s="43">
        <v>0</v>
      </c>
      <c r="T22" s="43">
        <f t="shared" si="3"/>
        <v>269.70620000000002</v>
      </c>
      <c r="U22" s="43">
        <f t="shared" si="4"/>
        <v>1852.2937999999999</v>
      </c>
      <c r="V22" s="44"/>
      <c r="X22" s="45"/>
    </row>
    <row r="23" spans="1:24" ht="23.25" customHeight="1">
      <c r="A23" s="14">
        <v>13</v>
      </c>
      <c r="B23" s="41" t="s">
        <v>77</v>
      </c>
      <c r="C23" s="41" t="s">
        <v>78</v>
      </c>
      <c r="D23" s="42"/>
      <c r="E23" s="14"/>
      <c r="F23" s="41" t="s">
        <v>32</v>
      </c>
      <c r="G23" s="30">
        <v>43846</v>
      </c>
      <c r="H23" s="40">
        <v>5</v>
      </c>
      <c r="J23" s="15">
        <v>30</v>
      </c>
      <c r="K23" s="38">
        <v>2122</v>
      </c>
      <c r="L23" s="38"/>
      <c r="M23" s="43">
        <v>0</v>
      </c>
      <c r="N23" s="38">
        <f t="shared" si="5"/>
        <v>2122</v>
      </c>
      <c r="O23" s="38">
        <f t="shared" si="0"/>
        <v>212.20000000000002</v>
      </c>
      <c r="P23" s="38">
        <f t="shared" si="6"/>
        <v>36.286200000000001</v>
      </c>
      <c r="Q23" s="38">
        <f t="shared" si="1"/>
        <v>10.61</v>
      </c>
      <c r="R23" s="38">
        <f t="shared" si="2"/>
        <v>10.61</v>
      </c>
      <c r="S23" s="43">
        <v>0</v>
      </c>
      <c r="T23" s="43">
        <f t="shared" si="3"/>
        <v>269.70620000000002</v>
      </c>
      <c r="U23" s="43">
        <f t="shared" si="4"/>
        <v>1852.2937999999999</v>
      </c>
      <c r="V23" s="44"/>
      <c r="X23" s="45"/>
    </row>
    <row r="24" spans="1:24" ht="23.25" customHeight="1">
      <c r="A24" s="14">
        <v>14</v>
      </c>
      <c r="B24" s="41" t="s">
        <v>41</v>
      </c>
      <c r="C24" s="41" t="s">
        <v>72</v>
      </c>
      <c r="D24" s="42"/>
      <c r="E24" s="14"/>
      <c r="F24" s="41" t="s">
        <v>73</v>
      </c>
      <c r="G24" s="30">
        <v>43846</v>
      </c>
      <c r="H24" s="40">
        <v>6</v>
      </c>
      <c r="J24" s="15">
        <v>30</v>
      </c>
      <c r="K24" s="38">
        <v>2122</v>
      </c>
      <c r="L24" s="38"/>
      <c r="M24" s="43">
        <v>0</v>
      </c>
      <c r="N24" s="38">
        <f t="shared" si="5"/>
        <v>2122</v>
      </c>
      <c r="O24" s="38">
        <f t="shared" si="0"/>
        <v>212.20000000000002</v>
      </c>
      <c r="P24" s="38">
        <f t="shared" si="6"/>
        <v>36.286200000000001</v>
      </c>
      <c r="Q24" s="38">
        <f t="shared" si="1"/>
        <v>10.61</v>
      </c>
      <c r="R24" s="38">
        <f t="shared" si="2"/>
        <v>10.61</v>
      </c>
      <c r="S24" s="43">
        <v>0</v>
      </c>
      <c r="T24" s="43">
        <f t="shared" si="3"/>
        <v>269.70620000000002</v>
      </c>
      <c r="U24" s="43">
        <f t="shared" si="4"/>
        <v>1852.2937999999999</v>
      </c>
      <c r="V24" s="44"/>
      <c r="X24" s="45"/>
    </row>
    <row r="25" spans="1:24" ht="23.25" customHeight="1">
      <c r="A25" s="14">
        <v>15</v>
      </c>
      <c r="B25" s="41" t="s">
        <v>50</v>
      </c>
      <c r="C25" s="41" t="s">
        <v>66</v>
      </c>
      <c r="D25" s="42"/>
      <c r="E25" s="14"/>
      <c r="F25" s="41" t="s">
        <v>51</v>
      </c>
      <c r="G25" s="30">
        <v>43846</v>
      </c>
      <c r="H25" s="40">
        <v>5</v>
      </c>
      <c r="J25" s="15">
        <v>30</v>
      </c>
      <c r="K25" s="38">
        <v>2122</v>
      </c>
      <c r="L25" s="38"/>
      <c r="M25" s="43">
        <v>0</v>
      </c>
      <c r="N25" s="38">
        <f t="shared" si="5"/>
        <v>2122</v>
      </c>
      <c r="O25" s="38">
        <f t="shared" si="0"/>
        <v>212.20000000000002</v>
      </c>
      <c r="P25" s="38">
        <f t="shared" si="6"/>
        <v>36.286200000000001</v>
      </c>
      <c r="Q25" s="38">
        <f t="shared" si="1"/>
        <v>10.61</v>
      </c>
      <c r="R25" s="38">
        <f t="shared" si="2"/>
        <v>10.61</v>
      </c>
      <c r="S25" s="43">
        <v>0</v>
      </c>
      <c r="T25" s="43">
        <f t="shared" si="3"/>
        <v>269.70620000000002</v>
      </c>
      <c r="U25" s="43">
        <f t="shared" si="4"/>
        <v>1852.2937999999999</v>
      </c>
      <c r="V25" s="44"/>
      <c r="X25" s="45"/>
    </row>
    <row r="26" spans="1:24" ht="23.25" customHeight="1">
      <c r="A26" s="14">
        <v>16</v>
      </c>
      <c r="B26" s="41" t="s">
        <v>43</v>
      </c>
      <c r="C26" s="41" t="s">
        <v>84</v>
      </c>
      <c r="D26" s="42"/>
      <c r="E26" s="14"/>
      <c r="F26" s="41" t="s">
        <v>36</v>
      </c>
      <c r="G26" s="30">
        <v>43846</v>
      </c>
      <c r="H26" s="40">
        <v>4</v>
      </c>
      <c r="J26" s="15">
        <v>30</v>
      </c>
      <c r="K26" s="38">
        <v>2122</v>
      </c>
      <c r="L26" s="38"/>
      <c r="M26" s="43">
        <v>0</v>
      </c>
      <c r="N26" s="38">
        <f t="shared" si="5"/>
        <v>2122</v>
      </c>
      <c r="O26" s="38">
        <f t="shared" si="0"/>
        <v>212.20000000000002</v>
      </c>
      <c r="P26" s="38">
        <f t="shared" si="6"/>
        <v>36.286200000000001</v>
      </c>
      <c r="Q26" s="38">
        <f t="shared" si="1"/>
        <v>10.61</v>
      </c>
      <c r="R26" s="38">
        <f t="shared" si="2"/>
        <v>10.61</v>
      </c>
      <c r="S26" s="43">
        <v>0</v>
      </c>
      <c r="T26" s="43">
        <f t="shared" si="3"/>
        <v>269.70620000000002</v>
      </c>
      <c r="U26" s="43">
        <f t="shared" si="4"/>
        <v>1852.2937999999999</v>
      </c>
      <c r="V26" s="44"/>
      <c r="X26" s="45"/>
    </row>
    <row r="27" spans="1:24" ht="23.25" customHeight="1">
      <c r="A27" s="14">
        <v>17</v>
      </c>
      <c r="B27" s="41" t="s">
        <v>37</v>
      </c>
      <c r="C27" s="41" t="s">
        <v>38</v>
      </c>
      <c r="D27" s="42"/>
      <c r="E27" s="14"/>
      <c r="F27" s="41" t="s">
        <v>34</v>
      </c>
      <c r="G27" s="30">
        <v>43846</v>
      </c>
      <c r="H27" s="40">
        <v>5</v>
      </c>
      <c r="I27">
        <f t="shared" ref="I27" si="8">VALUE(MID(H27,1,2))</f>
        <v>5</v>
      </c>
      <c r="J27" s="15">
        <v>30</v>
      </c>
      <c r="K27" s="38">
        <v>2122</v>
      </c>
      <c r="L27" s="38"/>
      <c r="M27" s="43">
        <v>0</v>
      </c>
      <c r="N27" s="38">
        <f t="shared" si="5"/>
        <v>2122</v>
      </c>
      <c r="O27" s="38">
        <f t="shared" si="0"/>
        <v>212.20000000000002</v>
      </c>
      <c r="P27" s="38">
        <f t="shared" si="6"/>
        <v>36.286200000000001</v>
      </c>
      <c r="Q27" s="38">
        <f t="shared" si="1"/>
        <v>10.61</v>
      </c>
      <c r="R27" s="38">
        <f t="shared" si="2"/>
        <v>10.61</v>
      </c>
      <c r="S27" s="43">
        <v>0</v>
      </c>
      <c r="T27" s="43">
        <f t="shared" si="3"/>
        <v>269.70620000000002</v>
      </c>
      <c r="U27" s="43">
        <f t="shared" si="4"/>
        <v>1852.2937999999999</v>
      </c>
      <c r="V27" s="44"/>
      <c r="X27" s="45"/>
    </row>
    <row r="28" spans="1:24" s="18" customFormat="1" ht="21" customHeight="1">
      <c r="A28" s="33"/>
      <c r="B28" s="34"/>
      <c r="C28" s="35" t="s">
        <v>22</v>
      </c>
      <c r="D28" s="34"/>
      <c r="E28" s="36"/>
      <c r="F28" s="34"/>
      <c r="G28" s="34"/>
      <c r="H28" s="31"/>
      <c r="I28" s="31"/>
      <c r="J28" s="37"/>
      <c r="K28" s="32">
        <f t="shared" ref="K28:U28" si="9">SUM(K11:K27)</f>
        <v>39079.85</v>
      </c>
      <c r="L28" s="32"/>
      <c r="M28" s="32">
        <f t="shared" si="9"/>
        <v>318.3</v>
      </c>
      <c r="N28" s="32">
        <f t="shared" si="9"/>
        <v>39398.15</v>
      </c>
      <c r="O28" s="32">
        <f t="shared" si="9"/>
        <v>3939.8149999999991</v>
      </c>
      <c r="P28" s="32">
        <f t="shared" si="9"/>
        <v>673.70836500000007</v>
      </c>
      <c r="Q28" s="32">
        <f t="shared" si="9"/>
        <v>196.99075000000005</v>
      </c>
      <c r="R28" s="32">
        <f t="shared" si="9"/>
        <v>196.99075000000005</v>
      </c>
      <c r="S28" s="32">
        <f t="shared" si="9"/>
        <v>0</v>
      </c>
      <c r="T28" s="32">
        <f t="shared" si="9"/>
        <v>5007.5048649999999</v>
      </c>
      <c r="U28" s="32">
        <f t="shared" si="9"/>
        <v>34390.645134999999</v>
      </c>
      <c r="V28" s="19"/>
    </row>
    <row r="29" spans="1:24" s="18" customFormat="1" ht="9.75" customHeight="1">
      <c r="A29"/>
      <c r="B29"/>
      <c r="C29"/>
      <c r="D29"/>
      <c r="E29" s="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s="23">
        <f>SUM(T28:T28)</f>
        <v>5007.5048649999999</v>
      </c>
      <c r="U29" s="23"/>
    </row>
    <row r="30" spans="1:24">
      <c r="N30" s="46"/>
    </row>
    <row r="31" spans="1:24" s="18" customForma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4" s="18" customFormat="1">
      <c r="A32"/>
      <c r="B32"/>
      <c r="C32"/>
      <c r="D32"/>
      <c r="E32" s="9"/>
      <c r="F32"/>
      <c r="G32"/>
      <c r="H32"/>
      <c r="I32"/>
      <c r="J32"/>
      <c r="K32" t="s">
        <v>89</v>
      </c>
      <c r="L32"/>
      <c r="M32"/>
      <c r="N32"/>
      <c r="O32"/>
      <c r="P32"/>
      <c r="Q32"/>
      <c r="R32"/>
      <c r="S32"/>
      <c r="T32"/>
      <c r="U32"/>
      <c r="V32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:T32"/>
  <sheetViews>
    <sheetView topLeftCell="A11" workbookViewId="0">
      <selection activeCell="K33" sqref="K33"/>
    </sheetView>
  </sheetViews>
  <sheetFormatPr baseColWidth="10" defaultRowHeight="15"/>
  <cols>
    <col min="1" max="1" width="3.140625" customWidth="1"/>
    <col min="2" max="2" width="11.7109375" customWidth="1"/>
    <col min="3" max="3" width="32.28515625" customWidth="1"/>
    <col min="4" max="4" width="11.42578125" hidden="1" customWidth="1"/>
    <col min="5" max="5" width="4" style="9" hidden="1" customWidth="1"/>
    <col min="6" max="6" width="19.42578125" customWidth="1"/>
    <col min="7" max="7" width="10.85546875" customWidth="1"/>
    <col min="8" max="9" width="0.140625" hidden="1" customWidth="1"/>
    <col min="10" max="10" width="0.140625" customWidth="1"/>
    <col min="11" max="11" width="11.42578125" customWidth="1"/>
    <col min="12" max="12" width="9.28515625" hidden="1" customWidth="1"/>
    <col min="13" max="13" width="7.85546875" customWidth="1"/>
    <col min="14" max="14" width="10.140625" customWidth="1"/>
    <col min="15" max="15" width="13" customWidth="1"/>
    <col min="16" max="16" width="12" customWidth="1"/>
    <col min="17" max="17" width="14.42578125" customWidth="1"/>
    <col min="18" max="18" width="17.28515625" customWidth="1"/>
    <col min="19" max="20" width="11.42578125" style="18" customWidth="1"/>
  </cols>
  <sheetData>
    <row r="1" spans="1:20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51" t="s">
        <v>33</v>
      </c>
      <c r="S1" s="51"/>
    </row>
    <row r="2" spans="1:20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51"/>
      <c r="S2" s="17"/>
    </row>
    <row r="3" spans="1:20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7"/>
    </row>
    <row r="4" spans="1:20" s="26" customFormat="1" ht="12" customHeight="1">
      <c r="A4" s="237" t="s">
        <v>57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7"/>
      <c r="T4" s="27"/>
    </row>
    <row r="5" spans="1:20" s="26" customFormat="1" ht="15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7"/>
      <c r="T5" s="27"/>
    </row>
    <row r="6" spans="1:20" s="26" customFormat="1" ht="17.25" customHeight="1">
      <c r="A6" s="237" t="s">
        <v>92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7"/>
      <c r="T6" s="27"/>
    </row>
    <row r="7" spans="1:20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S7" s="7">
        <v>42399</v>
      </c>
      <c r="T7" s="8">
        <v>1656</v>
      </c>
    </row>
    <row r="8" spans="1:20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76</v>
      </c>
      <c r="L8" s="47"/>
      <c r="M8" s="234" t="s">
        <v>11</v>
      </c>
      <c r="N8" s="234" t="s">
        <v>53</v>
      </c>
      <c r="O8" s="234" t="s">
        <v>54</v>
      </c>
      <c r="P8" s="234" t="s">
        <v>55</v>
      </c>
      <c r="Q8" s="234" t="s">
        <v>56</v>
      </c>
      <c r="R8" s="234" t="s">
        <v>14</v>
      </c>
    </row>
    <row r="9" spans="1:20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35"/>
      <c r="P9" s="235"/>
      <c r="Q9" s="235"/>
      <c r="R9" s="235"/>
    </row>
    <row r="10" spans="1:20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236"/>
      <c r="P10" s="236"/>
      <c r="Q10" s="236"/>
      <c r="R10" s="236"/>
    </row>
    <row r="11" spans="1:20" ht="23.25" customHeight="1">
      <c r="A11" s="14">
        <v>1</v>
      </c>
      <c r="B11" s="41" t="s">
        <v>29</v>
      </c>
      <c r="C11" s="41" t="s">
        <v>60</v>
      </c>
      <c r="D11" s="42"/>
      <c r="E11" s="14"/>
      <c r="F11" s="41" t="s">
        <v>30</v>
      </c>
      <c r="G11" s="30">
        <v>43846</v>
      </c>
      <c r="H11" s="40">
        <v>6</v>
      </c>
      <c r="J11" s="15">
        <v>30</v>
      </c>
      <c r="K11" s="38">
        <v>2970.49</v>
      </c>
      <c r="L11" s="38"/>
      <c r="M11" s="43">
        <v>0</v>
      </c>
      <c r="N11" s="38">
        <f>K11+M11</f>
        <v>2970.49</v>
      </c>
      <c r="O11" s="39">
        <v>10</v>
      </c>
      <c r="P11" s="39">
        <v>29</v>
      </c>
      <c r="Q11" s="43">
        <f>(K11/12*10)+ (K11/12/30*29)</f>
        <v>2714.6978055555555</v>
      </c>
      <c r="R11" s="44"/>
      <c r="T11" s="45"/>
    </row>
    <row r="12" spans="1:20" ht="23.25" customHeight="1">
      <c r="A12" s="14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43846</v>
      </c>
      <c r="H12" s="40">
        <v>5</v>
      </c>
      <c r="J12" s="15">
        <v>30</v>
      </c>
      <c r="K12" s="38">
        <v>2122</v>
      </c>
      <c r="L12" s="38"/>
      <c r="M12" s="43">
        <v>0</v>
      </c>
      <c r="N12" s="38">
        <f t="shared" ref="N12:N27" si="0">K12+M12</f>
        <v>2122</v>
      </c>
      <c r="O12" s="39">
        <v>10</v>
      </c>
      <c r="P12" s="39">
        <v>29</v>
      </c>
      <c r="Q12" s="43">
        <f t="shared" ref="Q12:Q25" si="1">(K12/12*10)+ (K12/12/30*29)</f>
        <v>1939.2722222222224</v>
      </c>
      <c r="R12" s="44"/>
      <c r="T12" s="45"/>
    </row>
    <row r="13" spans="1:20" ht="23.25" customHeight="1">
      <c r="A13" s="14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43846</v>
      </c>
      <c r="H13" s="40">
        <v>6</v>
      </c>
      <c r="J13" s="15">
        <v>30</v>
      </c>
      <c r="K13" s="38">
        <v>3560.54</v>
      </c>
      <c r="L13" s="38"/>
      <c r="M13" s="43">
        <v>0</v>
      </c>
      <c r="N13" s="38">
        <f t="shared" si="0"/>
        <v>3560.54</v>
      </c>
      <c r="O13" s="39">
        <v>10</v>
      </c>
      <c r="P13" s="39">
        <v>29</v>
      </c>
      <c r="Q13" s="43">
        <f t="shared" si="1"/>
        <v>3253.9379444444439</v>
      </c>
      <c r="R13" s="44"/>
      <c r="T13" s="45"/>
    </row>
    <row r="14" spans="1:20" ht="23.25" customHeight="1">
      <c r="A14" s="14">
        <v>4</v>
      </c>
      <c r="B14" s="41" t="s">
        <v>79</v>
      </c>
      <c r="C14" s="41" t="s">
        <v>80</v>
      </c>
      <c r="D14" s="42"/>
      <c r="E14" s="14"/>
      <c r="F14" s="41" t="s">
        <v>81</v>
      </c>
      <c r="G14" s="30">
        <v>43846</v>
      </c>
      <c r="H14" s="40">
        <v>6</v>
      </c>
      <c r="J14" s="15">
        <v>30</v>
      </c>
      <c r="K14" s="38">
        <v>2444</v>
      </c>
      <c r="L14" s="38"/>
      <c r="M14" s="43">
        <v>0</v>
      </c>
      <c r="N14" s="38">
        <f t="shared" si="0"/>
        <v>2444</v>
      </c>
      <c r="O14" s="39">
        <v>10</v>
      </c>
      <c r="P14" s="39">
        <v>29</v>
      </c>
      <c r="Q14" s="43">
        <f t="shared" si="1"/>
        <v>2233.5444444444443</v>
      </c>
      <c r="R14" s="44"/>
      <c r="T14" s="45"/>
    </row>
    <row r="15" spans="1:20" ht="23.25" customHeight="1">
      <c r="A15" s="14">
        <v>5</v>
      </c>
      <c r="B15" s="41" t="s">
        <v>19</v>
      </c>
      <c r="C15" s="41" t="s">
        <v>20</v>
      </c>
      <c r="D15" s="42">
        <v>22218</v>
      </c>
      <c r="E15" s="14" t="s">
        <v>18</v>
      </c>
      <c r="F15" s="41" t="s">
        <v>21</v>
      </c>
      <c r="G15" s="30">
        <v>43846</v>
      </c>
      <c r="H15" s="40">
        <v>5</v>
      </c>
      <c r="I15">
        <f t="shared" ref="I15" si="2">VALUE(MID(H15,1,2))</f>
        <v>5</v>
      </c>
      <c r="J15" s="15">
        <v>30</v>
      </c>
      <c r="K15" s="38">
        <v>2122</v>
      </c>
      <c r="L15" s="38"/>
      <c r="M15" s="43">
        <v>0</v>
      </c>
      <c r="N15" s="38">
        <f t="shared" si="0"/>
        <v>2122</v>
      </c>
      <c r="O15" s="39">
        <v>11</v>
      </c>
      <c r="P15" s="39">
        <v>15</v>
      </c>
      <c r="Q15" s="43">
        <f>(K15/12*11)+ (K15/12/30*15)</f>
        <v>2033.5833333333335</v>
      </c>
      <c r="R15" s="44"/>
      <c r="T15" s="45"/>
    </row>
    <row r="16" spans="1:20" ht="23.25" customHeight="1">
      <c r="A16" s="14">
        <v>6</v>
      </c>
      <c r="B16" s="41" t="s">
        <v>69</v>
      </c>
      <c r="C16" s="41" t="s">
        <v>70</v>
      </c>
      <c r="D16" s="42"/>
      <c r="E16" s="14"/>
      <c r="F16" s="41" t="s">
        <v>71</v>
      </c>
      <c r="G16" s="30">
        <v>43846</v>
      </c>
      <c r="H16" s="40">
        <v>6</v>
      </c>
      <c r="J16" s="15">
        <v>30</v>
      </c>
      <c r="K16" s="38">
        <v>2122</v>
      </c>
      <c r="L16" s="38"/>
      <c r="M16" s="43">
        <v>0</v>
      </c>
      <c r="N16" s="38">
        <f t="shared" si="0"/>
        <v>2122</v>
      </c>
      <c r="O16" s="39">
        <v>10</v>
      </c>
      <c r="P16" s="39">
        <v>29</v>
      </c>
      <c r="Q16" s="43">
        <f t="shared" si="1"/>
        <v>1939.2722222222224</v>
      </c>
      <c r="R16" s="44"/>
      <c r="T16" s="45"/>
    </row>
    <row r="17" spans="1:20" ht="23.25" customHeight="1">
      <c r="A17" s="14">
        <v>7</v>
      </c>
      <c r="B17" s="41" t="s">
        <v>45</v>
      </c>
      <c r="C17" s="41" t="s">
        <v>46</v>
      </c>
      <c r="D17" s="42"/>
      <c r="E17" s="14"/>
      <c r="F17" s="41" t="s">
        <v>47</v>
      </c>
      <c r="G17" s="30">
        <v>43101</v>
      </c>
      <c r="H17" s="40">
        <v>6</v>
      </c>
      <c r="J17" s="15">
        <v>30</v>
      </c>
      <c r="K17" s="38">
        <v>2142.4</v>
      </c>
      <c r="L17" s="38"/>
      <c r="M17" s="43">
        <v>318.3</v>
      </c>
      <c r="N17" s="38">
        <f t="shared" si="0"/>
        <v>2460.7000000000003</v>
      </c>
      <c r="O17" s="39">
        <v>12</v>
      </c>
      <c r="P17" s="39">
        <v>0</v>
      </c>
      <c r="Q17" s="43">
        <v>2460.6999999999998</v>
      </c>
      <c r="R17" s="44"/>
      <c r="T17" s="45"/>
    </row>
    <row r="18" spans="1:20" ht="23.25" customHeight="1">
      <c r="A18" s="14">
        <v>8</v>
      </c>
      <c r="B18" s="41" t="s">
        <v>31</v>
      </c>
      <c r="C18" s="41" t="s">
        <v>62</v>
      </c>
      <c r="D18" s="42"/>
      <c r="E18" s="14"/>
      <c r="F18" s="41" t="s">
        <v>32</v>
      </c>
      <c r="G18" s="30">
        <v>43846</v>
      </c>
      <c r="H18" s="40">
        <v>5</v>
      </c>
      <c r="J18" s="15">
        <v>30</v>
      </c>
      <c r="K18" s="38">
        <v>2348</v>
      </c>
      <c r="L18" s="38"/>
      <c r="M18" s="43">
        <v>0</v>
      </c>
      <c r="N18" s="38">
        <f t="shared" si="0"/>
        <v>2348</v>
      </c>
      <c r="O18" s="39">
        <v>10</v>
      </c>
      <c r="P18" s="39">
        <v>29</v>
      </c>
      <c r="Q18" s="43">
        <f t="shared" si="1"/>
        <v>2145.8111111111111</v>
      </c>
      <c r="R18" s="44"/>
      <c r="T18" s="45"/>
    </row>
    <row r="19" spans="1:20" ht="23.25" customHeight="1">
      <c r="A19" s="14">
        <v>9</v>
      </c>
      <c r="B19" s="41" t="s">
        <v>52</v>
      </c>
      <c r="C19" s="41" t="s">
        <v>63</v>
      </c>
      <c r="D19" s="42"/>
      <c r="E19" s="14"/>
      <c r="F19" s="41" t="s">
        <v>40</v>
      </c>
      <c r="G19" s="30">
        <v>43846</v>
      </c>
      <c r="H19" s="40">
        <v>5</v>
      </c>
      <c r="J19" s="15">
        <v>30</v>
      </c>
      <c r="K19" s="38">
        <v>2122</v>
      </c>
      <c r="L19" s="38"/>
      <c r="M19" s="43">
        <v>0</v>
      </c>
      <c r="N19" s="38">
        <f t="shared" si="0"/>
        <v>2122</v>
      </c>
      <c r="O19" s="39">
        <v>11</v>
      </c>
      <c r="P19" s="39">
        <v>15</v>
      </c>
      <c r="Q19" s="43">
        <v>2033.58</v>
      </c>
      <c r="R19" s="44"/>
      <c r="T19" s="45"/>
    </row>
    <row r="20" spans="1:20" ht="23.25" customHeight="1">
      <c r="A20" s="14">
        <v>10</v>
      </c>
      <c r="B20" s="41" t="s">
        <v>82</v>
      </c>
      <c r="C20" s="41" t="s">
        <v>83</v>
      </c>
      <c r="D20" s="42"/>
      <c r="E20" s="14"/>
      <c r="F20" s="41" t="s">
        <v>36</v>
      </c>
      <c r="G20" s="30">
        <v>43846</v>
      </c>
      <c r="H20" s="40">
        <v>4</v>
      </c>
      <c r="J20" s="15">
        <v>30</v>
      </c>
      <c r="K20" s="38">
        <v>2122</v>
      </c>
      <c r="L20" s="38"/>
      <c r="M20" s="43">
        <v>0</v>
      </c>
      <c r="N20" s="38">
        <f t="shared" si="0"/>
        <v>2122</v>
      </c>
      <c r="O20" s="39">
        <v>10</v>
      </c>
      <c r="P20" s="39">
        <v>29</v>
      </c>
      <c r="Q20" s="43">
        <f t="shared" si="1"/>
        <v>1939.2722222222224</v>
      </c>
      <c r="R20" s="44"/>
      <c r="T20" s="45"/>
    </row>
    <row r="21" spans="1:20" ht="23.25" customHeight="1">
      <c r="A21" s="14">
        <v>11</v>
      </c>
      <c r="B21" s="41" t="s">
        <v>35</v>
      </c>
      <c r="C21" s="41" t="s">
        <v>64</v>
      </c>
      <c r="D21" s="42"/>
      <c r="E21" s="14"/>
      <c r="F21" s="41" t="s">
        <v>36</v>
      </c>
      <c r="G21" s="30">
        <v>43846</v>
      </c>
      <c r="H21" s="40">
        <v>4</v>
      </c>
      <c r="J21" s="15">
        <v>30</v>
      </c>
      <c r="K21" s="38">
        <v>2272.42</v>
      </c>
      <c r="L21" s="38"/>
      <c r="M21" s="43">
        <v>0</v>
      </c>
      <c r="N21" s="38">
        <f t="shared" si="0"/>
        <v>2272.42</v>
      </c>
      <c r="O21" s="39">
        <v>10</v>
      </c>
      <c r="P21" s="39">
        <v>29</v>
      </c>
      <c r="Q21" s="43">
        <f t="shared" si="1"/>
        <v>2076.7393888888892</v>
      </c>
      <c r="R21" s="44"/>
      <c r="T21" s="45"/>
    </row>
    <row r="22" spans="1:20" ht="23.25" customHeight="1">
      <c r="A22" s="14">
        <v>12</v>
      </c>
      <c r="B22" s="41" t="s">
        <v>42</v>
      </c>
      <c r="C22" s="41" t="s">
        <v>65</v>
      </c>
      <c r="D22" s="42"/>
      <c r="E22" s="14"/>
      <c r="F22" s="41" t="s">
        <v>36</v>
      </c>
      <c r="G22" s="30">
        <v>43846</v>
      </c>
      <c r="H22" s="40">
        <v>4</v>
      </c>
      <c r="J22" s="15">
        <v>30</v>
      </c>
      <c r="K22" s="38">
        <v>2122</v>
      </c>
      <c r="L22" s="38"/>
      <c r="M22" s="43">
        <v>0</v>
      </c>
      <c r="N22" s="38">
        <f t="shared" si="0"/>
        <v>2122</v>
      </c>
      <c r="O22" s="39">
        <v>10</v>
      </c>
      <c r="P22" s="39">
        <v>29</v>
      </c>
      <c r="Q22" s="43">
        <f t="shared" si="1"/>
        <v>1939.2722222222224</v>
      </c>
      <c r="R22" s="44"/>
      <c r="T22" s="45"/>
    </row>
    <row r="23" spans="1:20" ht="23.25" customHeight="1">
      <c r="A23" s="14">
        <v>13</v>
      </c>
      <c r="B23" s="41" t="s">
        <v>77</v>
      </c>
      <c r="C23" s="41" t="s">
        <v>78</v>
      </c>
      <c r="D23" s="42"/>
      <c r="E23" s="14"/>
      <c r="F23" s="41" t="s">
        <v>32</v>
      </c>
      <c r="G23" s="30">
        <v>43846</v>
      </c>
      <c r="H23" s="40">
        <v>5</v>
      </c>
      <c r="J23" s="15">
        <v>30</v>
      </c>
      <c r="K23" s="38">
        <v>2122</v>
      </c>
      <c r="L23" s="38"/>
      <c r="M23" s="43">
        <v>0</v>
      </c>
      <c r="N23" s="38">
        <f t="shared" si="0"/>
        <v>2122</v>
      </c>
      <c r="O23" s="39">
        <v>10</v>
      </c>
      <c r="P23" s="39">
        <v>29</v>
      </c>
      <c r="Q23" s="43">
        <f t="shared" si="1"/>
        <v>1939.2722222222224</v>
      </c>
      <c r="R23" s="44"/>
      <c r="T23" s="45"/>
    </row>
    <row r="24" spans="1:20" ht="23.25" customHeight="1">
      <c r="A24" s="14">
        <v>14</v>
      </c>
      <c r="B24" s="41" t="s">
        <v>41</v>
      </c>
      <c r="C24" s="41" t="s">
        <v>72</v>
      </c>
      <c r="D24" s="42"/>
      <c r="E24" s="14"/>
      <c r="F24" s="41" t="s">
        <v>73</v>
      </c>
      <c r="G24" s="30">
        <v>43846</v>
      </c>
      <c r="H24" s="40">
        <v>6</v>
      </c>
      <c r="J24" s="15">
        <v>30</v>
      </c>
      <c r="K24" s="38">
        <v>2122</v>
      </c>
      <c r="L24" s="38"/>
      <c r="M24" s="43">
        <v>0</v>
      </c>
      <c r="N24" s="38">
        <f t="shared" si="0"/>
        <v>2122</v>
      </c>
      <c r="O24" s="39">
        <v>10</v>
      </c>
      <c r="P24" s="39">
        <v>29</v>
      </c>
      <c r="Q24" s="43">
        <f t="shared" si="1"/>
        <v>1939.2722222222224</v>
      </c>
      <c r="R24" s="44"/>
      <c r="T24" s="45"/>
    </row>
    <row r="25" spans="1:20" ht="23.25" customHeight="1">
      <c r="A25" s="14">
        <v>15</v>
      </c>
      <c r="B25" s="41" t="s">
        <v>50</v>
      </c>
      <c r="C25" s="41" t="s">
        <v>66</v>
      </c>
      <c r="D25" s="42"/>
      <c r="E25" s="14"/>
      <c r="F25" s="41" t="s">
        <v>51</v>
      </c>
      <c r="G25" s="30">
        <v>43846</v>
      </c>
      <c r="H25" s="40">
        <v>5</v>
      </c>
      <c r="J25" s="15">
        <v>30</v>
      </c>
      <c r="K25" s="38">
        <v>2122</v>
      </c>
      <c r="L25" s="38"/>
      <c r="M25" s="43">
        <v>0</v>
      </c>
      <c r="N25" s="38">
        <f t="shared" si="0"/>
        <v>2122</v>
      </c>
      <c r="O25" s="39">
        <v>10</v>
      </c>
      <c r="P25" s="39">
        <v>29</v>
      </c>
      <c r="Q25" s="43">
        <f t="shared" si="1"/>
        <v>1939.2722222222224</v>
      </c>
      <c r="R25" s="44"/>
      <c r="T25" s="45"/>
    </row>
    <row r="26" spans="1:20" ht="23.25" customHeight="1">
      <c r="A26" s="14">
        <v>16</v>
      </c>
      <c r="B26" s="41" t="s">
        <v>43</v>
      </c>
      <c r="C26" s="41" t="s">
        <v>84</v>
      </c>
      <c r="D26" s="42"/>
      <c r="E26" s="14"/>
      <c r="F26" s="41" t="s">
        <v>36</v>
      </c>
      <c r="G26" s="30">
        <v>43846</v>
      </c>
      <c r="H26" s="40">
        <v>4</v>
      </c>
      <c r="J26" s="15">
        <v>30</v>
      </c>
      <c r="K26" s="38">
        <v>2122</v>
      </c>
      <c r="L26" s="38"/>
      <c r="M26" s="43">
        <v>0</v>
      </c>
      <c r="N26" s="38">
        <f t="shared" si="0"/>
        <v>2122</v>
      </c>
      <c r="O26" s="39">
        <v>11</v>
      </c>
      <c r="P26" s="39">
        <v>15</v>
      </c>
      <c r="Q26" s="43">
        <f>(K26/12*11)+ (K26/12/30*15)</f>
        <v>2033.5833333333335</v>
      </c>
      <c r="R26" s="44"/>
      <c r="T26" s="45"/>
    </row>
    <row r="27" spans="1:20" ht="23.25" customHeight="1">
      <c r="A27" s="14">
        <v>17</v>
      </c>
      <c r="B27" s="41" t="s">
        <v>37</v>
      </c>
      <c r="C27" s="41" t="s">
        <v>38</v>
      </c>
      <c r="D27" s="42"/>
      <c r="E27" s="14"/>
      <c r="F27" s="41" t="s">
        <v>34</v>
      </c>
      <c r="G27" s="30">
        <v>43846</v>
      </c>
      <c r="H27" s="40">
        <v>5</v>
      </c>
      <c r="I27">
        <f t="shared" ref="I27" si="3">VALUE(MID(H27,1,2))</f>
        <v>5</v>
      </c>
      <c r="J27" s="15">
        <v>30</v>
      </c>
      <c r="K27" s="38">
        <v>2122</v>
      </c>
      <c r="L27" s="38"/>
      <c r="M27" s="43">
        <v>0</v>
      </c>
      <c r="N27" s="38">
        <f t="shared" si="0"/>
        <v>2122</v>
      </c>
      <c r="O27" s="39">
        <v>11</v>
      </c>
      <c r="P27" s="39">
        <v>15</v>
      </c>
      <c r="Q27" s="54">
        <v>2033.58</v>
      </c>
      <c r="R27" s="44"/>
      <c r="T27" s="45"/>
    </row>
    <row r="28" spans="1:20" s="18" customFormat="1" ht="21" customHeight="1">
      <c r="A28" s="33"/>
      <c r="B28" s="34"/>
      <c r="C28" s="35" t="s">
        <v>22</v>
      </c>
      <c r="D28" s="34"/>
      <c r="E28" s="36"/>
      <c r="F28" s="34"/>
      <c r="G28" s="34"/>
      <c r="H28" s="31"/>
      <c r="I28" s="31"/>
      <c r="J28" s="37"/>
      <c r="K28" s="32">
        <f t="shared" ref="K28:N28" si="4">SUM(K11:K27)</f>
        <v>39079.85</v>
      </c>
      <c r="L28" s="32"/>
      <c r="M28" s="32">
        <f t="shared" si="4"/>
        <v>318.3</v>
      </c>
      <c r="N28" s="32">
        <f t="shared" si="4"/>
        <v>39398.15</v>
      </c>
      <c r="O28" s="49"/>
      <c r="P28" s="50"/>
      <c r="Q28" s="16">
        <f>SUM(Q11:Q27)</f>
        <v>36594.662916666668</v>
      </c>
      <c r="R28" s="53"/>
    </row>
    <row r="32" spans="1:20">
      <c r="K32" t="s">
        <v>89</v>
      </c>
    </row>
  </sheetData>
  <mergeCells count="17">
    <mergeCell ref="N8:N10"/>
    <mergeCell ref="O8:O10"/>
    <mergeCell ref="P8:P10"/>
    <mergeCell ref="Q8:Q10"/>
    <mergeCell ref="A4:R4"/>
    <mergeCell ref="A5:R5"/>
    <mergeCell ref="A6:R6"/>
    <mergeCell ref="A8:A10"/>
    <mergeCell ref="B8:B10"/>
    <mergeCell ref="C8:C10"/>
    <mergeCell ref="D8:D10"/>
    <mergeCell ref="E8:E10"/>
    <mergeCell ref="F8:F10"/>
    <mergeCell ref="G8:G10"/>
    <mergeCell ref="R8:R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4"/>
  <dimension ref="A1:T34"/>
  <sheetViews>
    <sheetView topLeftCell="A2" workbookViewId="0">
      <selection activeCell="B29" sqref="B29"/>
    </sheetView>
  </sheetViews>
  <sheetFormatPr baseColWidth="10" defaultRowHeight="15"/>
  <cols>
    <col min="1" max="1" width="3.140625" customWidth="1"/>
    <col min="2" max="2" width="10.85546875" customWidth="1"/>
    <col min="3" max="3" width="35" customWidth="1"/>
    <col min="4" max="4" width="11.42578125" hidden="1" customWidth="1"/>
    <col min="5" max="5" width="4" style="9" hidden="1" customWidth="1"/>
    <col min="6" max="6" width="18" customWidth="1"/>
    <col min="7" max="7" width="12.5703125" customWidth="1"/>
    <col min="8" max="8" width="8.28515625" hidden="1" customWidth="1"/>
    <col min="9" max="9" width="0.140625" hidden="1" customWidth="1"/>
    <col min="10" max="10" width="5" hidden="1" customWidth="1"/>
    <col min="11" max="11" width="14.28515625" customWidth="1"/>
    <col min="12" max="12" width="9.28515625" hidden="1" customWidth="1"/>
    <col min="13" max="13" width="9.28515625" customWidth="1"/>
    <col min="14" max="14" width="13.5703125" customWidth="1"/>
    <col min="15" max="15" width="13.140625" customWidth="1"/>
    <col min="16" max="16" width="11.42578125" customWidth="1"/>
    <col min="17" max="17" width="13.5703125" customWidth="1"/>
    <col min="18" max="18" width="19" customWidth="1"/>
    <col min="19" max="20" width="11.42578125" style="18" customWidth="1"/>
  </cols>
  <sheetData>
    <row r="1" spans="1:20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51" t="s">
        <v>33</v>
      </c>
      <c r="S1" s="51"/>
    </row>
    <row r="2" spans="1:20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51"/>
      <c r="S2" s="17"/>
    </row>
    <row r="3" spans="1:20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7"/>
    </row>
    <row r="4" spans="1:20" s="26" customFormat="1" ht="12" customHeight="1">
      <c r="A4" s="237" t="s">
        <v>94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7"/>
      <c r="T4" s="27"/>
    </row>
    <row r="5" spans="1:20" s="26" customFormat="1" ht="15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7"/>
      <c r="T5" s="27"/>
    </row>
    <row r="6" spans="1:20" s="26" customFormat="1" ht="17.25" customHeight="1">
      <c r="A6" s="237" t="s">
        <v>92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7"/>
      <c r="T6" s="27"/>
    </row>
    <row r="7" spans="1:20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S7" s="7">
        <v>42399</v>
      </c>
      <c r="T7" s="8">
        <v>1656</v>
      </c>
    </row>
    <row r="8" spans="1:20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4" t="s">
        <v>54</v>
      </c>
      <c r="P8" s="234" t="s">
        <v>55</v>
      </c>
      <c r="Q8" s="234" t="s">
        <v>56</v>
      </c>
      <c r="R8" s="234" t="s">
        <v>14</v>
      </c>
    </row>
    <row r="9" spans="1:20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35"/>
      <c r="P9" s="235"/>
      <c r="Q9" s="235"/>
      <c r="R9" s="235"/>
    </row>
    <row r="10" spans="1:20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236"/>
      <c r="P10" s="236"/>
      <c r="Q10" s="236"/>
      <c r="R10" s="236"/>
    </row>
    <row r="11" spans="1:20" ht="23.25" customHeight="1">
      <c r="A11" s="14">
        <v>1</v>
      </c>
      <c r="B11" s="41" t="s">
        <v>29</v>
      </c>
      <c r="C11" s="41" t="s">
        <v>60</v>
      </c>
      <c r="D11" s="42"/>
      <c r="E11" s="14"/>
      <c r="F11" s="41" t="s">
        <v>30</v>
      </c>
      <c r="G11" s="30">
        <v>43846</v>
      </c>
      <c r="H11" s="40">
        <v>6</v>
      </c>
      <c r="J11" s="15">
        <v>30</v>
      </c>
      <c r="K11" s="38">
        <v>2970.49</v>
      </c>
      <c r="L11" s="38"/>
      <c r="M11" s="43">
        <v>0</v>
      </c>
      <c r="N11" s="38">
        <f>K11+M11</f>
        <v>2970.49</v>
      </c>
      <c r="O11" s="39">
        <v>9</v>
      </c>
      <c r="P11" s="39">
        <v>16</v>
      </c>
      <c r="Q11" s="43">
        <f>(K11/12*O11)+ (K11/12/30*P11)</f>
        <v>2359.8892777777778</v>
      </c>
      <c r="R11" s="44"/>
      <c r="T11"/>
    </row>
    <row r="12" spans="1:20" ht="23.25" customHeight="1">
      <c r="A12" s="14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43846</v>
      </c>
      <c r="H12" s="40">
        <v>5</v>
      </c>
      <c r="J12" s="15">
        <v>30</v>
      </c>
      <c r="K12" s="38">
        <v>2122</v>
      </c>
      <c r="L12" s="38"/>
      <c r="M12" s="43">
        <v>0</v>
      </c>
      <c r="N12" s="38">
        <f t="shared" ref="N12:N26" si="0">K12+M12</f>
        <v>2122</v>
      </c>
      <c r="O12" s="39">
        <v>9</v>
      </c>
      <c r="P12" s="39">
        <v>16</v>
      </c>
      <c r="Q12" s="43">
        <f t="shared" ref="Q12:Q16" si="1">(K12/12*9)+ (K12/12/30*P12)</f>
        <v>1685.8111111111111</v>
      </c>
      <c r="R12" s="44"/>
      <c r="T12" s="45"/>
    </row>
    <row r="13" spans="1:20" ht="23.25" customHeight="1">
      <c r="A13" s="14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43846</v>
      </c>
      <c r="H13" s="40">
        <v>6</v>
      </c>
      <c r="J13" s="15">
        <v>30</v>
      </c>
      <c r="K13" s="38">
        <v>3560.54</v>
      </c>
      <c r="L13" s="38"/>
      <c r="M13" s="43">
        <v>0</v>
      </c>
      <c r="N13" s="38">
        <f t="shared" si="0"/>
        <v>3560.54</v>
      </c>
      <c r="O13" s="39">
        <v>9</v>
      </c>
      <c r="P13" s="39">
        <v>16</v>
      </c>
      <c r="Q13" s="43">
        <f t="shared" si="1"/>
        <v>2828.6512222222218</v>
      </c>
      <c r="R13" s="44"/>
      <c r="T13" s="45"/>
    </row>
    <row r="14" spans="1:20" ht="23.25" customHeight="1">
      <c r="A14" s="14">
        <v>4</v>
      </c>
      <c r="B14" s="41" t="s">
        <v>79</v>
      </c>
      <c r="C14" s="41" t="s">
        <v>80</v>
      </c>
      <c r="D14" s="42"/>
      <c r="E14" s="14"/>
      <c r="F14" s="41" t="s">
        <v>81</v>
      </c>
      <c r="G14" s="30">
        <v>43846</v>
      </c>
      <c r="H14" s="40">
        <v>6</v>
      </c>
      <c r="J14" s="15">
        <v>30</v>
      </c>
      <c r="K14" s="38">
        <v>2444</v>
      </c>
      <c r="L14" s="38"/>
      <c r="M14" s="43">
        <v>0</v>
      </c>
      <c r="N14" s="38">
        <f t="shared" si="0"/>
        <v>2444</v>
      </c>
      <c r="O14" s="39">
        <v>9</v>
      </c>
      <c r="P14" s="39">
        <v>16</v>
      </c>
      <c r="Q14" s="43">
        <f t="shared" si="1"/>
        <v>1941.6222222222223</v>
      </c>
      <c r="R14" s="44"/>
      <c r="T14" s="45"/>
    </row>
    <row r="15" spans="1:20" ht="23.25" customHeight="1">
      <c r="A15" s="14">
        <v>5</v>
      </c>
      <c r="B15" s="41" t="s">
        <v>19</v>
      </c>
      <c r="C15" s="41" t="s">
        <v>20</v>
      </c>
      <c r="D15" s="42">
        <v>22218</v>
      </c>
      <c r="E15" s="14" t="s">
        <v>18</v>
      </c>
      <c r="F15" s="41" t="s">
        <v>21</v>
      </c>
      <c r="G15" s="30">
        <v>43846</v>
      </c>
      <c r="H15" s="40">
        <v>5</v>
      </c>
      <c r="I15">
        <f t="shared" ref="I15" si="2">VALUE(MID(H15,1,2))</f>
        <v>5</v>
      </c>
      <c r="J15" s="15">
        <v>30</v>
      </c>
      <c r="K15" s="38">
        <v>2122</v>
      </c>
      <c r="L15" s="38"/>
      <c r="M15" s="43">
        <v>0</v>
      </c>
      <c r="N15" s="38">
        <f t="shared" si="0"/>
        <v>2122</v>
      </c>
      <c r="O15" s="39">
        <v>11</v>
      </c>
      <c r="P15" s="39">
        <v>15</v>
      </c>
      <c r="Q15" s="43">
        <f>(K15/12*11)+ (K15/12/30*P15)</f>
        <v>2033.5833333333335</v>
      </c>
      <c r="R15" s="44"/>
      <c r="T15" s="45"/>
    </row>
    <row r="16" spans="1:20" ht="23.25" customHeight="1">
      <c r="A16" s="14">
        <v>6</v>
      </c>
      <c r="B16" s="41" t="s">
        <v>69</v>
      </c>
      <c r="C16" s="41" t="s">
        <v>70</v>
      </c>
      <c r="D16" s="42"/>
      <c r="E16" s="14"/>
      <c r="F16" s="41" t="s">
        <v>71</v>
      </c>
      <c r="G16" s="30">
        <v>43846</v>
      </c>
      <c r="H16" s="40">
        <v>6</v>
      </c>
      <c r="J16" s="15">
        <v>30</v>
      </c>
      <c r="K16" s="38">
        <v>2122</v>
      </c>
      <c r="L16" s="38"/>
      <c r="M16" s="43">
        <v>0</v>
      </c>
      <c r="N16" s="38">
        <f t="shared" si="0"/>
        <v>2122</v>
      </c>
      <c r="O16" s="39">
        <v>9</v>
      </c>
      <c r="P16" s="39">
        <v>16</v>
      </c>
      <c r="Q16" s="43">
        <f t="shared" si="1"/>
        <v>1685.8111111111111</v>
      </c>
      <c r="R16" s="44"/>
      <c r="T16" s="45"/>
    </row>
    <row r="17" spans="1:20" ht="23.25" customHeight="1">
      <c r="A17" s="14">
        <v>7</v>
      </c>
      <c r="B17" s="41" t="s">
        <v>31</v>
      </c>
      <c r="C17" s="41" t="s">
        <v>62</v>
      </c>
      <c r="D17" s="42"/>
      <c r="E17" s="14"/>
      <c r="F17" s="41" t="s">
        <v>32</v>
      </c>
      <c r="G17" s="30">
        <v>43846</v>
      </c>
      <c r="H17" s="40">
        <v>5</v>
      </c>
      <c r="J17" s="15">
        <v>30</v>
      </c>
      <c r="K17" s="38">
        <v>2348</v>
      </c>
      <c r="L17" s="38"/>
      <c r="M17" s="43">
        <v>0</v>
      </c>
      <c r="N17" s="38">
        <f t="shared" si="0"/>
        <v>2348</v>
      </c>
      <c r="O17" s="39">
        <v>9</v>
      </c>
      <c r="P17" s="39">
        <v>16</v>
      </c>
      <c r="Q17" s="43">
        <f>(K17/12*9)+ (K17/12/30*P17)</f>
        <v>1865.3555555555556</v>
      </c>
      <c r="R17" s="44"/>
      <c r="T17" s="45"/>
    </row>
    <row r="18" spans="1:20" ht="23.25" customHeight="1">
      <c r="A18" s="14">
        <v>8</v>
      </c>
      <c r="B18" s="41" t="s">
        <v>52</v>
      </c>
      <c r="C18" s="41" t="s">
        <v>63</v>
      </c>
      <c r="D18" s="42"/>
      <c r="E18" s="14"/>
      <c r="F18" s="41" t="s">
        <v>28</v>
      </c>
      <c r="G18" s="30">
        <v>43846</v>
      </c>
      <c r="H18" s="40">
        <v>5</v>
      </c>
      <c r="J18" s="15">
        <v>30</v>
      </c>
      <c r="K18" s="38">
        <v>2122</v>
      </c>
      <c r="L18" s="38"/>
      <c r="M18" s="43">
        <v>0</v>
      </c>
      <c r="N18" s="38">
        <f t="shared" si="0"/>
        <v>2122</v>
      </c>
      <c r="O18" s="39">
        <v>11</v>
      </c>
      <c r="P18" s="39">
        <v>15</v>
      </c>
      <c r="Q18" s="43">
        <v>2033.58</v>
      </c>
      <c r="R18" s="44"/>
      <c r="T18" s="45"/>
    </row>
    <row r="19" spans="1:20" ht="23.25" customHeight="1">
      <c r="A19" s="14">
        <v>9</v>
      </c>
      <c r="B19" s="41" t="s">
        <v>82</v>
      </c>
      <c r="C19" s="41" t="s">
        <v>83</v>
      </c>
      <c r="D19" s="42"/>
      <c r="E19" s="14"/>
      <c r="F19" s="41" t="s">
        <v>36</v>
      </c>
      <c r="G19" s="30">
        <v>43846</v>
      </c>
      <c r="H19" s="40">
        <v>4</v>
      </c>
      <c r="J19" s="15">
        <v>30</v>
      </c>
      <c r="K19" s="38">
        <v>2122</v>
      </c>
      <c r="L19" s="38"/>
      <c r="M19" s="43">
        <v>0</v>
      </c>
      <c r="N19" s="38">
        <f t="shared" si="0"/>
        <v>2122</v>
      </c>
      <c r="O19" s="39">
        <v>9</v>
      </c>
      <c r="P19" s="39">
        <v>16</v>
      </c>
      <c r="Q19" s="43">
        <f t="shared" ref="Q19:Q24" si="3">(K19/12*9)+ (K19/12/30*P19)</f>
        <v>1685.8111111111111</v>
      </c>
      <c r="R19" s="44"/>
      <c r="T19" s="45"/>
    </row>
    <row r="20" spans="1:20" ht="23.25" customHeight="1">
      <c r="A20" s="14">
        <v>10</v>
      </c>
      <c r="B20" s="41" t="s">
        <v>35</v>
      </c>
      <c r="C20" s="41" t="s">
        <v>64</v>
      </c>
      <c r="D20" s="42"/>
      <c r="E20" s="14"/>
      <c r="F20" s="41" t="s">
        <v>36</v>
      </c>
      <c r="G20" s="30">
        <v>43846</v>
      </c>
      <c r="H20" s="40">
        <v>4</v>
      </c>
      <c r="J20" s="15">
        <v>30</v>
      </c>
      <c r="K20" s="38">
        <v>2272.42</v>
      </c>
      <c r="L20" s="38"/>
      <c r="M20" s="43">
        <v>0</v>
      </c>
      <c r="N20" s="38">
        <f t="shared" si="0"/>
        <v>2272.42</v>
      </c>
      <c r="O20" s="39">
        <v>9</v>
      </c>
      <c r="P20" s="39">
        <v>16</v>
      </c>
      <c r="Q20" s="43">
        <f t="shared" si="3"/>
        <v>1805.3114444444445</v>
      </c>
      <c r="R20" s="44"/>
      <c r="T20" s="45"/>
    </row>
    <row r="21" spans="1:20" ht="23.25" customHeight="1">
      <c r="A21" s="14">
        <v>11</v>
      </c>
      <c r="B21" s="41" t="s">
        <v>42</v>
      </c>
      <c r="C21" s="41" t="s">
        <v>65</v>
      </c>
      <c r="D21" s="42"/>
      <c r="E21" s="14"/>
      <c r="F21" s="41" t="s">
        <v>36</v>
      </c>
      <c r="G21" s="30">
        <v>43846</v>
      </c>
      <c r="H21" s="40">
        <v>4</v>
      </c>
      <c r="J21" s="15">
        <v>30</v>
      </c>
      <c r="K21" s="38">
        <v>2122</v>
      </c>
      <c r="L21" s="38"/>
      <c r="M21" s="43">
        <v>0</v>
      </c>
      <c r="N21" s="38">
        <f t="shared" si="0"/>
        <v>2122</v>
      </c>
      <c r="O21" s="39">
        <v>9</v>
      </c>
      <c r="P21" s="39">
        <v>16</v>
      </c>
      <c r="Q21" s="43">
        <f t="shared" si="3"/>
        <v>1685.8111111111111</v>
      </c>
      <c r="R21" s="44"/>
      <c r="T21" s="45"/>
    </row>
    <row r="22" spans="1:20" ht="23.25" customHeight="1">
      <c r="A22" s="14">
        <v>12</v>
      </c>
      <c r="B22" s="41" t="s">
        <v>77</v>
      </c>
      <c r="C22" s="41" t="s">
        <v>78</v>
      </c>
      <c r="D22" s="42"/>
      <c r="E22" s="14"/>
      <c r="F22" s="41" t="s">
        <v>32</v>
      </c>
      <c r="G22" s="30">
        <v>43846</v>
      </c>
      <c r="H22" s="40">
        <v>5</v>
      </c>
      <c r="J22" s="15">
        <v>30</v>
      </c>
      <c r="K22" s="38">
        <v>2122</v>
      </c>
      <c r="L22" s="38"/>
      <c r="M22" s="43">
        <v>0</v>
      </c>
      <c r="N22" s="38">
        <f t="shared" si="0"/>
        <v>2122</v>
      </c>
      <c r="O22" s="39">
        <v>9</v>
      </c>
      <c r="P22" s="39">
        <v>16</v>
      </c>
      <c r="Q22" s="43">
        <f t="shared" si="3"/>
        <v>1685.8111111111111</v>
      </c>
      <c r="R22" s="44"/>
      <c r="T22" s="45"/>
    </row>
    <row r="23" spans="1:20" ht="23.25" customHeight="1">
      <c r="A23" s="14">
        <v>13</v>
      </c>
      <c r="B23" s="41" t="s">
        <v>41</v>
      </c>
      <c r="C23" s="41" t="s">
        <v>72</v>
      </c>
      <c r="D23" s="42"/>
      <c r="E23" s="14"/>
      <c r="F23" s="41" t="s">
        <v>73</v>
      </c>
      <c r="G23" s="30">
        <v>43846</v>
      </c>
      <c r="H23" s="40">
        <v>6</v>
      </c>
      <c r="J23" s="15">
        <v>30</v>
      </c>
      <c r="K23" s="38">
        <v>2122</v>
      </c>
      <c r="L23" s="38"/>
      <c r="M23" s="43">
        <v>0</v>
      </c>
      <c r="N23" s="38">
        <f t="shared" si="0"/>
        <v>2122</v>
      </c>
      <c r="O23" s="39">
        <v>9</v>
      </c>
      <c r="P23" s="39">
        <v>16</v>
      </c>
      <c r="Q23" s="43">
        <f t="shared" si="3"/>
        <v>1685.8111111111111</v>
      </c>
      <c r="R23" s="44"/>
      <c r="T23" s="45"/>
    </row>
    <row r="24" spans="1:20" ht="23.25" customHeight="1">
      <c r="A24" s="14">
        <v>14</v>
      </c>
      <c r="B24" s="41" t="s">
        <v>50</v>
      </c>
      <c r="C24" s="41" t="s">
        <v>66</v>
      </c>
      <c r="D24" s="42"/>
      <c r="E24" s="14"/>
      <c r="F24" s="41" t="s">
        <v>51</v>
      </c>
      <c r="G24" s="30">
        <v>43846</v>
      </c>
      <c r="H24" s="40">
        <v>5</v>
      </c>
      <c r="J24" s="15">
        <v>30</v>
      </c>
      <c r="K24" s="38">
        <v>2122</v>
      </c>
      <c r="L24" s="38"/>
      <c r="M24" s="43">
        <v>0</v>
      </c>
      <c r="N24" s="38">
        <f t="shared" si="0"/>
        <v>2122</v>
      </c>
      <c r="O24" s="39">
        <v>9</v>
      </c>
      <c r="P24" s="39">
        <v>16</v>
      </c>
      <c r="Q24" s="43">
        <f t="shared" si="3"/>
        <v>1685.8111111111111</v>
      </c>
      <c r="R24" s="44"/>
      <c r="T24" s="45"/>
    </row>
    <row r="25" spans="1:20" ht="23.25" customHeight="1">
      <c r="A25" s="14">
        <v>15</v>
      </c>
      <c r="B25" s="41" t="s">
        <v>43</v>
      </c>
      <c r="C25" s="41" t="s">
        <v>84</v>
      </c>
      <c r="D25" s="42"/>
      <c r="E25" s="14"/>
      <c r="F25" s="41" t="s">
        <v>36</v>
      </c>
      <c r="G25" s="30">
        <v>43846</v>
      </c>
      <c r="H25" s="40">
        <v>4</v>
      </c>
      <c r="J25" s="15">
        <v>30</v>
      </c>
      <c r="K25" s="38">
        <v>2122</v>
      </c>
      <c r="L25" s="38"/>
      <c r="M25" s="43">
        <v>0</v>
      </c>
      <c r="N25" s="38">
        <f t="shared" si="0"/>
        <v>2122</v>
      </c>
      <c r="O25" s="39">
        <v>11</v>
      </c>
      <c r="P25" s="39">
        <v>15</v>
      </c>
      <c r="Q25" s="43">
        <v>2033.58</v>
      </c>
      <c r="R25" s="44"/>
      <c r="T25" s="45"/>
    </row>
    <row r="26" spans="1:20" ht="23.25" customHeight="1">
      <c r="A26" s="14">
        <v>16</v>
      </c>
      <c r="B26" s="41" t="s">
        <v>37</v>
      </c>
      <c r="C26" s="41" t="s">
        <v>38</v>
      </c>
      <c r="D26" s="42"/>
      <c r="E26" s="14"/>
      <c r="F26" s="41" t="s">
        <v>34</v>
      </c>
      <c r="G26" s="30">
        <v>43846</v>
      </c>
      <c r="H26" s="40">
        <v>5</v>
      </c>
      <c r="I26">
        <f t="shared" ref="I26" si="4">VALUE(MID(H26,1,2))</f>
        <v>5</v>
      </c>
      <c r="J26" s="15">
        <v>30</v>
      </c>
      <c r="K26" s="38">
        <v>2122</v>
      </c>
      <c r="L26" s="38"/>
      <c r="M26" s="43">
        <v>0</v>
      </c>
      <c r="N26" s="38">
        <f t="shared" si="0"/>
        <v>2122</v>
      </c>
      <c r="O26" s="39">
        <v>11</v>
      </c>
      <c r="P26" s="39">
        <v>15</v>
      </c>
      <c r="Q26" s="43">
        <v>2033.58</v>
      </c>
      <c r="R26" s="44"/>
      <c r="T26" s="45"/>
    </row>
    <row r="27" spans="1:20" s="18" customFormat="1" ht="21" customHeight="1">
      <c r="A27" s="33"/>
      <c r="B27" s="34"/>
      <c r="C27" s="35" t="s">
        <v>22</v>
      </c>
      <c r="D27" s="34"/>
      <c r="E27" s="36"/>
      <c r="F27" s="34"/>
      <c r="G27" s="34"/>
      <c r="H27" s="31"/>
      <c r="I27" s="31"/>
      <c r="J27" s="37"/>
      <c r="K27" s="32">
        <f t="shared" ref="K27:N27" si="5">SUM(K11:K26)</f>
        <v>36937.449999999997</v>
      </c>
      <c r="L27" s="32"/>
      <c r="M27" s="32">
        <f t="shared" si="5"/>
        <v>0</v>
      </c>
      <c r="N27" s="32">
        <f t="shared" si="5"/>
        <v>36937.449999999997</v>
      </c>
      <c r="O27" s="49"/>
      <c r="P27" s="50"/>
      <c r="Q27" s="16">
        <f>SUM(Q11:Q26)</f>
        <v>30735.830833333333</v>
      </c>
      <c r="R27" s="53"/>
    </row>
    <row r="31" spans="1:20">
      <c r="K31" t="s">
        <v>93</v>
      </c>
    </row>
    <row r="34" spans="16:17">
      <c r="P34" s="18"/>
      <c r="Q34" s="45"/>
    </row>
  </sheetData>
  <mergeCells count="17">
    <mergeCell ref="N8:N10"/>
    <mergeCell ref="O8:O10"/>
    <mergeCell ref="P8:P10"/>
    <mergeCell ref="Q8:Q10"/>
    <mergeCell ref="A4:R4"/>
    <mergeCell ref="A5:R5"/>
    <mergeCell ref="A6:R6"/>
    <mergeCell ref="A8:A10"/>
    <mergeCell ref="B8:B10"/>
    <mergeCell ref="C8:C10"/>
    <mergeCell ref="D8:D10"/>
    <mergeCell ref="E8:E10"/>
    <mergeCell ref="F8:F10"/>
    <mergeCell ref="G8:G10"/>
    <mergeCell ref="R8:R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5"/>
  <dimension ref="A1:X24"/>
  <sheetViews>
    <sheetView topLeftCell="A8" workbookViewId="0">
      <selection activeCell="G18" sqref="G1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95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3.25" customHeight="1">
      <c r="A11" s="14">
        <v>1</v>
      </c>
      <c r="B11" s="41" t="s">
        <v>44</v>
      </c>
      <c r="C11" s="41" t="s">
        <v>61</v>
      </c>
      <c r="D11" s="42"/>
      <c r="E11" s="14"/>
      <c r="F11" s="41" t="s">
        <v>49</v>
      </c>
      <c r="G11" s="30">
        <v>44212</v>
      </c>
      <c r="H11" s="40">
        <v>6</v>
      </c>
      <c r="J11" s="15">
        <v>15</v>
      </c>
      <c r="K11" s="38">
        <v>1780.27</v>
      </c>
      <c r="L11" s="38"/>
      <c r="M11" s="43">
        <v>0</v>
      </c>
      <c r="N11" s="38">
        <f t="shared" ref="N11:N19" si="0">K11+M11</f>
        <v>1780.27</v>
      </c>
      <c r="O11" s="38">
        <f t="shared" ref="O11:O19" si="1">+N11*0.1</f>
        <v>178.02700000000002</v>
      </c>
      <c r="P11" s="38">
        <f t="shared" ref="P11:P19" si="2">+N11*0.0171</f>
        <v>30.442617000000002</v>
      </c>
      <c r="Q11" s="38">
        <f t="shared" ref="Q11:Q19" si="3">+N11*0.005</f>
        <v>8.9013500000000008</v>
      </c>
      <c r="R11" s="38">
        <f t="shared" ref="R11:R19" si="4">N11*0.5%</f>
        <v>8.9013500000000008</v>
      </c>
      <c r="S11" s="43">
        <v>0</v>
      </c>
      <c r="T11" s="43">
        <f t="shared" ref="T11:T19" si="5">+O11+P11+Q11+R11+S11</f>
        <v>226.27231700000004</v>
      </c>
      <c r="U11" s="43">
        <f t="shared" ref="U11:U19" si="6">+N11-T11</f>
        <v>1553.9976830000001</v>
      </c>
      <c r="V11" s="44"/>
      <c r="X11" s="45"/>
    </row>
    <row r="12" spans="1:24" ht="23.25" customHeight="1">
      <c r="A12" s="14">
        <v>2</v>
      </c>
      <c r="B12" s="41" t="s">
        <v>19</v>
      </c>
      <c r="C12" s="41" t="s">
        <v>20</v>
      </c>
      <c r="D12" s="42">
        <v>22218</v>
      </c>
      <c r="E12" s="14" t="s">
        <v>18</v>
      </c>
      <c r="F12" s="41" t="s">
        <v>34</v>
      </c>
      <c r="G12" s="30">
        <v>43846</v>
      </c>
      <c r="H12" s="40">
        <v>5</v>
      </c>
      <c r="I12">
        <f t="shared" ref="I12" si="7">VALUE(MID(H12,1,2))</f>
        <v>5</v>
      </c>
      <c r="J12" s="15">
        <v>30</v>
      </c>
      <c r="K12" s="38">
        <v>2122</v>
      </c>
      <c r="L12" s="38"/>
      <c r="M12" s="43">
        <v>0</v>
      </c>
      <c r="N12" s="38">
        <f t="shared" si="0"/>
        <v>2122</v>
      </c>
      <c r="O12" s="38">
        <f t="shared" si="1"/>
        <v>212.20000000000002</v>
      </c>
      <c r="P12" s="38">
        <f t="shared" si="2"/>
        <v>36.286200000000001</v>
      </c>
      <c r="Q12" s="38">
        <f t="shared" si="3"/>
        <v>10.61</v>
      </c>
      <c r="R12" s="38">
        <f t="shared" si="4"/>
        <v>10.61</v>
      </c>
      <c r="S12" s="43">
        <v>0</v>
      </c>
      <c r="T12" s="43">
        <f t="shared" si="5"/>
        <v>269.70620000000002</v>
      </c>
      <c r="U12" s="43">
        <f t="shared" si="6"/>
        <v>1852.2937999999999</v>
      </c>
      <c r="V12" s="44"/>
      <c r="X12" s="45"/>
    </row>
    <row r="13" spans="1:24" ht="23.25" customHeight="1">
      <c r="A13" s="14">
        <v>3</v>
      </c>
      <c r="B13" s="41" t="s">
        <v>69</v>
      </c>
      <c r="C13" s="41" t="s">
        <v>70</v>
      </c>
      <c r="D13" s="42"/>
      <c r="E13" s="14"/>
      <c r="F13" s="41" t="s">
        <v>71</v>
      </c>
      <c r="G13" s="30">
        <v>44212</v>
      </c>
      <c r="H13" s="40">
        <v>6</v>
      </c>
      <c r="J13" s="15">
        <v>15</v>
      </c>
      <c r="K13" s="38">
        <v>1061</v>
      </c>
      <c r="L13" s="38"/>
      <c r="M13" s="43">
        <v>0</v>
      </c>
      <c r="N13" s="38">
        <f t="shared" si="0"/>
        <v>1061</v>
      </c>
      <c r="O13" s="38">
        <f t="shared" si="1"/>
        <v>106.10000000000001</v>
      </c>
      <c r="P13" s="38">
        <f t="shared" si="2"/>
        <v>18.1431</v>
      </c>
      <c r="Q13" s="38">
        <f t="shared" si="3"/>
        <v>5.3049999999999997</v>
      </c>
      <c r="R13" s="38">
        <f t="shared" si="4"/>
        <v>5.3049999999999997</v>
      </c>
      <c r="S13" s="43">
        <v>0</v>
      </c>
      <c r="T13" s="43">
        <f t="shared" si="5"/>
        <v>134.85310000000001</v>
      </c>
      <c r="U13" s="43">
        <f t="shared" si="6"/>
        <v>926.14689999999996</v>
      </c>
      <c r="V13" s="44"/>
      <c r="X13" s="45"/>
    </row>
    <row r="14" spans="1:24" ht="23.25" customHeight="1">
      <c r="A14" s="14">
        <v>4</v>
      </c>
      <c r="B14" s="21" t="s">
        <v>85</v>
      </c>
      <c r="C14" s="21" t="s">
        <v>86</v>
      </c>
      <c r="D14" s="20"/>
      <c r="E14" s="22" t="s">
        <v>40</v>
      </c>
      <c r="F14" s="30" t="s">
        <v>40</v>
      </c>
      <c r="G14" s="30">
        <v>44197</v>
      </c>
      <c r="H14" s="15">
        <v>5</v>
      </c>
      <c r="I14" s="43">
        <v>2122</v>
      </c>
      <c r="J14" s="15">
        <v>30</v>
      </c>
      <c r="K14" s="38">
        <v>2122</v>
      </c>
      <c r="L14" s="38"/>
      <c r="M14" s="43">
        <v>0</v>
      </c>
      <c r="N14" s="38">
        <f t="shared" si="0"/>
        <v>2122</v>
      </c>
      <c r="O14" s="38">
        <f t="shared" si="1"/>
        <v>212.20000000000002</v>
      </c>
      <c r="P14" s="38">
        <f t="shared" si="2"/>
        <v>36.286200000000001</v>
      </c>
      <c r="Q14" s="38">
        <f t="shared" si="3"/>
        <v>10.61</v>
      </c>
      <c r="R14" s="38">
        <f t="shared" si="4"/>
        <v>10.61</v>
      </c>
      <c r="S14" s="43">
        <v>0</v>
      </c>
      <c r="T14" s="43">
        <f t="shared" si="5"/>
        <v>269.70620000000002</v>
      </c>
      <c r="U14" s="43">
        <f t="shared" si="6"/>
        <v>1852.2937999999999</v>
      </c>
      <c r="V14" s="44"/>
      <c r="X14" s="45"/>
    </row>
    <row r="15" spans="1:24" ht="23.25" customHeight="1">
      <c r="A15" s="14">
        <v>5</v>
      </c>
      <c r="B15" s="41" t="s">
        <v>45</v>
      </c>
      <c r="C15" s="41" t="s">
        <v>46</v>
      </c>
      <c r="D15" s="42"/>
      <c r="E15" s="14"/>
      <c r="F15" s="41" t="s">
        <v>47</v>
      </c>
      <c r="G15" s="30">
        <v>43101</v>
      </c>
      <c r="H15" s="40">
        <v>6</v>
      </c>
      <c r="J15" s="15">
        <v>30</v>
      </c>
      <c r="K15" s="38">
        <v>2142.4</v>
      </c>
      <c r="L15" s="38"/>
      <c r="M15" s="43">
        <v>318.3</v>
      </c>
      <c r="N15" s="38">
        <f t="shared" si="0"/>
        <v>2460.7000000000003</v>
      </c>
      <c r="O15" s="38">
        <f t="shared" si="1"/>
        <v>246.07000000000005</v>
      </c>
      <c r="P15" s="38">
        <f t="shared" si="2"/>
        <v>42.077970000000008</v>
      </c>
      <c r="Q15" s="38">
        <f t="shared" si="3"/>
        <v>12.303500000000001</v>
      </c>
      <c r="R15" s="38">
        <f t="shared" si="4"/>
        <v>12.303500000000001</v>
      </c>
      <c r="S15" s="43">
        <v>0</v>
      </c>
      <c r="T15" s="43">
        <f t="shared" si="5"/>
        <v>312.75497000000001</v>
      </c>
      <c r="U15" s="43">
        <f t="shared" si="6"/>
        <v>2147.9450300000003</v>
      </c>
      <c r="V15" s="44"/>
      <c r="X15" s="45"/>
    </row>
    <row r="16" spans="1:24" ht="23.25" customHeight="1">
      <c r="A16" s="14">
        <v>6</v>
      </c>
      <c r="B16" s="41" t="s">
        <v>52</v>
      </c>
      <c r="C16" s="41" t="s">
        <v>63</v>
      </c>
      <c r="D16" s="42"/>
      <c r="E16" s="14"/>
      <c r="F16" s="41" t="s">
        <v>40</v>
      </c>
      <c r="G16" s="30">
        <v>43846</v>
      </c>
      <c r="H16" s="40">
        <v>5</v>
      </c>
      <c r="J16" s="15">
        <v>30</v>
      </c>
      <c r="K16" s="38">
        <v>2122</v>
      </c>
      <c r="L16" s="38"/>
      <c r="M16" s="43">
        <v>0</v>
      </c>
      <c r="N16" s="38">
        <f t="shared" si="0"/>
        <v>2122</v>
      </c>
      <c r="O16" s="38">
        <f t="shared" si="1"/>
        <v>212.20000000000002</v>
      </c>
      <c r="P16" s="38">
        <f t="shared" si="2"/>
        <v>36.286200000000001</v>
      </c>
      <c r="Q16" s="38">
        <f t="shared" si="3"/>
        <v>10.61</v>
      </c>
      <c r="R16" s="38">
        <f t="shared" si="4"/>
        <v>10.61</v>
      </c>
      <c r="S16" s="43">
        <v>0</v>
      </c>
      <c r="T16" s="43">
        <f t="shared" si="5"/>
        <v>269.70620000000002</v>
      </c>
      <c r="U16" s="43">
        <f t="shared" si="6"/>
        <v>1852.2937999999999</v>
      </c>
      <c r="V16" s="44"/>
      <c r="X16" s="45"/>
    </row>
    <row r="17" spans="1:24" ht="23.25" customHeight="1">
      <c r="A17" s="14">
        <v>7</v>
      </c>
      <c r="B17" s="21" t="s">
        <v>96</v>
      </c>
      <c r="C17" s="21" t="s">
        <v>97</v>
      </c>
      <c r="D17" s="20"/>
      <c r="E17" s="22" t="s">
        <v>40</v>
      </c>
      <c r="F17" s="41" t="s">
        <v>40</v>
      </c>
      <c r="G17" s="30">
        <v>44197</v>
      </c>
      <c r="H17" s="40">
        <v>5</v>
      </c>
      <c r="J17" s="15">
        <v>30</v>
      </c>
      <c r="K17" s="38">
        <v>2122</v>
      </c>
      <c r="L17" s="38"/>
      <c r="M17" s="43">
        <v>0</v>
      </c>
      <c r="N17" s="38">
        <f t="shared" si="0"/>
        <v>2122</v>
      </c>
      <c r="O17" s="38">
        <f t="shared" si="1"/>
        <v>212.20000000000002</v>
      </c>
      <c r="P17" s="38">
        <f t="shared" si="2"/>
        <v>36.286200000000001</v>
      </c>
      <c r="Q17" s="38">
        <f t="shared" si="3"/>
        <v>10.61</v>
      </c>
      <c r="R17" s="38">
        <f t="shared" si="4"/>
        <v>10.61</v>
      </c>
      <c r="S17" s="43">
        <v>0</v>
      </c>
      <c r="T17" s="43">
        <f t="shared" si="5"/>
        <v>269.70620000000002</v>
      </c>
      <c r="U17" s="43">
        <f t="shared" si="6"/>
        <v>1852.2937999999999</v>
      </c>
      <c r="V17" s="44"/>
      <c r="X17" s="45"/>
    </row>
    <row r="18" spans="1:24" ht="23.25" customHeight="1">
      <c r="A18" s="14">
        <v>8</v>
      </c>
      <c r="B18" s="41" t="s">
        <v>43</v>
      </c>
      <c r="C18" s="41" t="s">
        <v>84</v>
      </c>
      <c r="D18" s="42"/>
      <c r="E18" s="14"/>
      <c r="F18" s="41" t="s">
        <v>36</v>
      </c>
      <c r="G18" s="30">
        <v>43846</v>
      </c>
      <c r="H18" s="40">
        <v>4</v>
      </c>
      <c r="J18" s="15">
        <v>30</v>
      </c>
      <c r="K18" s="38">
        <v>2122</v>
      </c>
      <c r="L18" s="38"/>
      <c r="M18" s="43">
        <v>0</v>
      </c>
      <c r="N18" s="38">
        <f t="shared" si="0"/>
        <v>2122</v>
      </c>
      <c r="O18" s="38">
        <f t="shared" si="1"/>
        <v>212.20000000000002</v>
      </c>
      <c r="P18" s="38">
        <f t="shared" si="2"/>
        <v>36.286200000000001</v>
      </c>
      <c r="Q18" s="38">
        <f t="shared" si="3"/>
        <v>10.61</v>
      </c>
      <c r="R18" s="38">
        <f t="shared" si="4"/>
        <v>10.61</v>
      </c>
      <c r="S18" s="43">
        <v>0</v>
      </c>
      <c r="T18" s="43">
        <f t="shared" si="5"/>
        <v>269.70620000000002</v>
      </c>
      <c r="U18" s="43">
        <f t="shared" si="6"/>
        <v>1852.2937999999999</v>
      </c>
      <c r="V18" s="44"/>
      <c r="X18" s="45"/>
    </row>
    <row r="19" spans="1:24" ht="23.25" customHeight="1">
      <c r="A19" s="14">
        <v>9</v>
      </c>
      <c r="B19" s="41" t="s">
        <v>37</v>
      </c>
      <c r="C19" s="41" t="s">
        <v>38</v>
      </c>
      <c r="D19" s="42"/>
      <c r="E19" s="14"/>
      <c r="F19" s="41" t="s">
        <v>34</v>
      </c>
      <c r="G19" s="30">
        <v>43846</v>
      </c>
      <c r="H19" s="40">
        <v>5</v>
      </c>
      <c r="I19">
        <f t="shared" ref="I19" si="8">VALUE(MID(H19,1,2))</f>
        <v>5</v>
      </c>
      <c r="J19" s="15">
        <v>30</v>
      </c>
      <c r="K19" s="38">
        <v>2122</v>
      </c>
      <c r="L19" s="38"/>
      <c r="M19" s="43">
        <v>0</v>
      </c>
      <c r="N19" s="38">
        <f t="shared" si="0"/>
        <v>2122</v>
      </c>
      <c r="O19" s="38">
        <f t="shared" si="1"/>
        <v>212.20000000000002</v>
      </c>
      <c r="P19" s="38">
        <f t="shared" si="2"/>
        <v>36.286200000000001</v>
      </c>
      <c r="Q19" s="38">
        <f t="shared" si="3"/>
        <v>10.61</v>
      </c>
      <c r="R19" s="38">
        <f t="shared" si="4"/>
        <v>10.61</v>
      </c>
      <c r="S19" s="43">
        <v>0</v>
      </c>
      <c r="T19" s="43">
        <f t="shared" si="5"/>
        <v>269.70620000000002</v>
      </c>
      <c r="U19" s="43">
        <f t="shared" si="6"/>
        <v>1852.2937999999999</v>
      </c>
      <c r="V19" s="44"/>
      <c r="X19" s="45"/>
    </row>
    <row r="20" spans="1:24" s="18" customFormat="1" ht="21" customHeight="1">
      <c r="A20" s="33"/>
      <c r="B20" s="34"/>
      <c r="C20" s="35" t="s">
        <v>22</v>
      </c>
      <c r="D20" s="34"/>
      <c r="E20" s="36"/>
      <c r="F20" s="34"/>
      <c r="G20" s="34"/>
      <c r="H20" s="31"/>
      <c r="I20" s="31"/>
      <c r="J20" s="37"/>
      <c r="K20" s="32">
        <f>SUM(K11:K19)</f>
        <v>17715.669999999998</v>
      </c>
      <c r="L20" s="32"/>
      <c r="M20" s="32">
        <f t="shared" ref="M20:U20" si="9">SUM(M11:M19)</f>
        <v>318.3</v>
      </c>
      <c r="N20" s="32">
        <f t="shared" si="9"/>
        <v>18033.97</v>
      </c>
      <c r="O20" s="32">
        <f t="shared" si="9"/>
        <v>1803.3970000000002</v>
      </c>
      <c r="P20" s="32">
        <f t="shared" si="9"/>
        <v>308.38088700000003</v>
      </c>
      <c r="Q20" s="32">
        <f t="shared" si="9"/>
        <v>90.169849999999997</v>
      </c>
      <c r="R20" s="32">
        <f t="shared" si="9"/>
        <v>90.169849999999997</v>
      </c>
      <c r="S20" s="32">
        <f t="shared" si="9"/>
        <v>0</v>
      </c>
      <c r="T20" s="32">
        <f t="shared" si="9"/>
        <v>2292.1175870000002</v>
      </c>
      <c r="U20" s="32">
        <f t="shared" si="9"/>
        <v>15741.852412999999</v>
      </c>
      <c r="V20" s="19"/>
    </row>
    <row r="21" spans="1:24" s="18" customFormat="1" ht="9.75" customHeight="1">
      <c r="A21"/>
      <c r="B21"/>
      <c r="C21"/>
      <c r="D21"/>
      <c r="E21" s="9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s="23">
        <f>SUM(T20:T20)</f>
        <v>2292.1175870000002</v>
      </c>
      <c r="U21" s="23"/>
    </row>
    <row r="22" spans="1:24">
      <c r="N22" s="46"/>
    </row>
    <row r="23" spans="1:24" s="18" customFormat="1">
      <c r="A23"/>
      <c r="B23"/>
      <c r="C23"/>
      <c r="D23"/>
      <c r="E23" s="9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4" s="18" customFormat="1">
      <c r="A24"/>
      <c r="B24"/>
      <c r="C24"/>
      <c r="D24"/>
      <c r="E24" s="9"/>
      <c r="F24"/>
      <c r="G24"/>
      <c r="H24"/>
      <c r="I24"/>
      <c r="J24"/>
      <c r="K24" t="s">
        <v>98</v>
      </c>
      <c r="L24"/>
      <c r="M24"/>
      <c r="N24"/>
      <c r="O24"/>
      <c r="P24"/>
      <c r="Q24"/>
      <c r="R24"/>
      <c r="S24"/>
      <c r="T24"/>
      <c r="U24"/>
      <c r="V24"/>
    </row>
  </sheetData>
  <mergeCells count="17"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  <mergeCell ref="U8:U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Hoja6"/>
  <dimension ref="A1:X32"/>
  <sheetViews>
    <sheetView topLeftCell="A14" workbookViewId="0">
      <selection activeCell="X24" sqref="X24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106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1.75" customHeight="1">
      <c r="A11" s="57">
        <v>1</v>
      </c>
      <c r="B11" s="56" t="s">
        <v>99</v>
      </c>
      <c r="C11" s="66" t="s">
        <v>108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2122</v>
      </c>
      <c r="L11" s="60"/>
      <c r="M11" s="43">
        <v>0</v>
      </c>
      <c r="N11" s="62">
        <f t="shared" ref="N11:N13" si="0">K11+M11</f>
        <v>2122</v>
      </c>
      <c r="O11" s="62">
        <f t="shared" ref="O11:O13" si="1">+N11*0.1</f>
        <v>212.20000000000002</v>
      </c>
      <c r="P11" s="62">
        <f t="shared" ref="P11:P13" si="2">+N11*0.0171</f>
        <v>36.286200000000001</v>
      </c>
      <c r="Q11" s="62">
        <f t="shared" ref="Q11:Q13" si="3">+N11*0.005</f>
        <v>10.61</v>
      </c>
      <c r="R11" s="62">
        <f t="shared" ref="R11:R13" si="4">N11*0.5%</f>
        <v>10.61</v>
      </c>
      <c r="S11" s="43">
        <v>0</v>
      </c>
      <c r="T11" s="43">
        <f t="shared" ref="T11:T13" si="5">+O11+P11+Q11+R11+S11</f>
        <v>269.70620000000002</v>
      </c>
      <c r="U11" s="43">
        <f t="shared" ref="U11:U13" si="6">+N11-T11</f>
        <v>1852.2937999999999</v>
      </c>
      <c r="V11" s="55"/>
    </row>
    <row r="12" spans="1:24" ht="18.7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18.7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2122</v>
      </c>
      <c r="L13" s="60"/>
      <c r="M13" s="43">
        <v>0</v>
      </c>
      <c r="N13" s="62">
        <f t="shared" si="0"/>
        <v>2122</v>
      </c>
      <c r="O13" s="62">
        <f t="shared" si="1"/>
        <v>212.20000000000002</v>
      </c>
      <c r="P13" s="62">
        <f t="shared" si="2"/>
        <v>36.286200000000001</v>
      </c>
      <c r="Q13" s="62">
        <f t="shared" si="3"/>
        <v>10.61</v>
      </c>
      <c r="R13" s="62">
        <f t="shared" si="4"/>
        <v>10.61</v>
      </c>
      <c r="S13" s="43">
        <v>0</v>
      </c>
      <c r="T13" s="43">
        <f t="shared" si="5"/>
        <v>269.70620000000002</v>
      </c>
      <c r="U13" s="43">
        <f t="shared" si="6"/>
        <v>1852.2937999999999</v>
      </c>
      <c r="V13" s="55"/>
    </row>
    <row r="14" spans="1:24" ht="23.25" customHeight="1">
      <c r="A14" s="14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ref="N14:N27" si="7">K14+M14</f>
        <v>3560.54</v>
      </c>
      <c r="O14" s="62">
        <f t="shared" ref="O14:O27" si="8">+N14*0.1</f>
        <v>356.05400000000003</v>
      </c>
      <c r="P14" s="62">
        <f t="shared" ref="P14:P27" si="9">+N14*0.0171</f>
        <v>60.885234000000004</v>
      </c>
      <c r="Q14" s="62">
        <f t="shared" ref="Q14:Q27" si="10">+N14*0.005</f>
        <v>17.802700000000002</v>
      </c>
      <c r="R14" s="62">
        <f t="shared" ref="R14:R27" si="11">N14*0.5%</f>
        <v>17.802700000000002</v>
      </c>
      <c r="S14" s="43">
        <v>0</v>
      </c>
      <c r="T14" s="43">
        <f t="shared" ref="T14:T27" si="12">+O14+P14+Q14+R14+S14</f>
        <v>452.54463400000009</v>
      </c>
      <c r="U14" s="43">
        <f t="shared" ref="U14:U27" si="13">+N14-T14</f>
        <v>3107.9953660000001</v>
      </c>
      <c r="V14" s="44"/>
      <c r="X14" s="45"/>
    </row>
    <row r="15" spans="1:24" ht="23.2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7"/>
        <v>2444</v>
      </c>
      <c r="O15" s="62">
        <f t="shared" si="8"/>
        <v>244.4</v>
      </c>
      <c r="P15" s="62">
        <f t="shared" si="9"/>
        <v>41.792400000000001</v>
      </c>
      <c r="Q15" s="62">
        <f t="shared" si="10"/>
        <v>12.22</v>
      </c>
      <c r="R15" s="62">
        <f t="shared" si="11"/>
        <v>12.22</v>
      </c>
      <c r="S15" s="43">
        <v>0</v>
      </c>
      <c r="T15" s="43">
        <f t="shared" si="12"/>
        <v>310.63240000000008</v>
      </c>
      <c r="U15" s="43">
        <f t="shared" si="13"/>
        <v>2133.3676</v>
      </c>
      <c r="V15" s="44"/>
      <c r="X15" s="45"/>
    </row>
    <row r="16" spans="1:24" ht="23.25" customHeight="1">
      <c r="A16" s="57">
        <v>6</v>
      </c>
      <c r="B16" s="41" t="s">
        <v>101</v>
      </c>
      <c r="C16" s="41" t="s">
        <v>102</v>
      </c>
      <c r="D16" s="42"/>
      <c r="E16" s="14"/>
      <c r="F16" s="41" t="s">
        <v>103</v>
      </c>
      <c r="G16" s="30">
        <v>44228</v>
      </c>
      <c r="H16" s="40">
        <v>6</v>
      </c>
      <c r="J16" s="15">
        <v>30</v>
      </c>
      <c r="K16" s="38">
        <v>2122</v>
      </c>
      <c r="L16" s="62"/>
      <c r="M16" s="43">
        <v>0</v>
      </c>
      <c r="N16" s="62">
        <f t="shared" si="7"/>
        <v>2122</v>
      </c>
      <c r="O16" s="62">
        <f t="shared" si="8"/>
        <v>212.20000000000002</v>
      </c>
      <c r="P16" s="62">
        <f t="shared" si="9"/>
        <v>36.286200000000001</v>
      </c>
      <c r="Q16" s="62">
        <f t="shared" si="10"/>
        <v>10.61</v>
      </c>
      <c r="R16" s="62">
        <f t="shared" si="11"/>
        <v>10.61</v>
      </c>
      <c r="S16" s="43">
        <v>0</v>
      </c>
      <c r="T16" s="43">
        <f t="shared" si="12"/>
        <v>269.70620000000002</v>
      </c>
      <c r="U16" s="43">
        <f t="shared" si="13"/>
        <v>1852.2937999999999</v>
      </c>
      <c r="V16" s="44"/>
      <c r="X16" s="45"/>
    </row>
    <row r="17" spans="1:24" ht="23.2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44228</v>
      </c>
      <c r="H17" s="40">
        <v>5</v>
      </c>
      <c r="J17" s="15">
        <v>30</v>
      </c>
      <c r="K17" s="38">
        <v>2122</v>
      </c>
      <c r="L17" s="62"/>
      <c r="M17" s="43">
        <v>0</v>
      </c>
      <c r="N17" s="62">
        <f t="shared" si="7"/>
        <v>2122</v>
      </c>
      <c r="O17" s="62">
        <f t="shared" si="8"/>
        <v>212.20000000000002</v>
      </c>
      <c r="P17" s="62">
        <f t="shared" si="9"/>
        <v>36.286200000000001</v>
      </c>
      <c r="Q17" s="62">
        <f t="shared" si="10"/>
        <v>10.61</v>
      </c>
      <c r="R17" s="62">
        <f t="shared" si="11"/>
        <v>10.61</v>
      </c>
      <c r="S17" s="43">
        <v>0</v>
      </c>
      <c r="T17" s="43">
        <f t="shared" si="12"/>
        <v>269.70620000000002</v>
      </c>
      <c r="U17" s="43">
        <f t="shared" si="13"/>
        <v>1852.2937999999999</v>
      </c>
      <c r="V17" s="44"/>
      <c r="X17" s="45"/>
    </row>
    <row r="18" spans="1:24" ht="23.25" customHeight="1">
      <c r="A18" s="14">
        <v>8</v>
      </c>
      <c r="B18" s="41" t="s">
        <v>69</v>
      </c>
      <c r="C18" s="41" t="s">
        <v>70</v>
      </c>
      <c r="D18" s="42"/>
      <c r="E18" s="14"/>
      <c r="F18" s="41" t="s">
        <v>71</v>
      </c>
      <c r="G18" s="30">
        <v>44212</v>
      </c>
      <c r="H18" s="63">
        <v>6</v>
      </c>
      <c r="I18" s="64"/>
      <c r="J18" s="14">
        <v>30</v>
      </c>
      <c r="K18" s="62">
        <v>2122</v>
      </c>
      <c r="L18" s="62"/>
      <c r="M18" s="43">
        <v>0</v>
      </c>
      <c r="N18" s="62">
        <f t="shared" si="7"/>
        <v>2122</v>
      </c>
      <c r="O18" s="62">
        <f t="shared" si="8"/>
        <v>212.20000000000002</v>
      </c>
      <c r="P18" s="62">
        <f t="shared" si="9"/>
        <v>36.286200000000001</v>
      </c>
      <c r="Q18" s="62">
        <f t="shared" si="10"/>
        <v>10.61</v>
      </c>
      <c r="R18" s="62">
        <f t="shared" si="11"/>
        <v>10.61</v>
      </c>
      <c r="S18" s="43">
        <v>0</v>
      </c>
      <c r="T18" s="43">
        <f t="shared" si="12"/>
        <v>269.70620000000002</v>
      </c>
      <c r="U18" s="43">
        <f t="shared" si="13"/>
        <v>1852.2937999999999</v>
      </c>
      <c r="V18" s="44"/>
      <c r="X18" s="45"/>
    </row>
    <row r="19" spans="1:24" ht="23.2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44197</v>
      </c>
      <c r="H19" s="14">
        <v>5</v>
      </c>
      <c r="I19" s="43">
        <v>2122</v>
      </c>
      <c r="J19" s="14">
        <v>30</v>
      </c>
      <c r="K19" s="62">
        <v>2122</v>
      </c>
      <c r="L19" s="62"/>
      <c r="M19" s="43">
        <v>0</v>
      </c>
      <c r="N19" s="62">
        <f t="shared" si="7"/>
        <v>2122</v>
      </c>
      <c r="O19" s="62">
        <f t="shared" si="8"/>
        <v>212.20000000000002</v>
      </c>
      <c r="P19" s="62">
        <f t="shared" si="9"/>
        <v>36.286200000000001</v>
      </c>
      <c r="Q19" s="62">
        <f t="shared" si="10"/>
        <v>10.61</v>
      </c>
      <c r="R19" s="62">
        <f t="shared" si="11"/>
        <v>10.61</v>
      </c>
      <c r="S19" s="43">
        <v>0</v>
      </c>
      <c r="T19" s="43">
        <f t="shared" si="12"/>
        <v>269.70620000000002</v>
      </c>
      <c r="U19" s="43">
        <f t="shared" si="13"/>
        <v>1852.2937999999999</v>
      </c>
      <c r="V19" s="44"/>
      <c r="X19" s="45"/>
    </row>
    <row r="20" spans="1:24" ht="23.2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2142.4</v>
      </c>
      <c r="L20" s="62"/>
      <c r="M20" s="43">
        <v>318.3</v>
      </c>
      <c r="N20" s="62">
        <f t="shared" si="7"/>
        <v>2460.7000000000003</v>
      </c>
      <c r="O20" s="62">
        <f t="shared" si="8"/>
        <v>246.07000000000005</v>
      </c>
      <c r="P20" s="62">
        <f t="shared" si="9"/>
        <v>42.077970000000008</v>
      </c>
      <c r="Q20" s="62">
        <f t="shared" si="10"/>
        <v>12.303500000000001</v>
      </c>
      <c r="R20" s="62">
        <f t="shared" si="11"/>
        <v>12.303500000000001</v>
      </c>
      <c r="S20" s="43">
        <v>0</v>
      </c>
      <c r="T20" s="43">
        <f t="shared" si="12"/>
        <v>312.75497000000001</v>
      </c>
      <c r="U20" s="43">
        <f t="shared" si="13"/>
        <v>2147.9450300000003</v>
      </c>
      <c r="V20" s="44"/>
      <c r="X20" s="45"/>
    </row>
    <row r="21" spans="1:24" ht="23.2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44228</v>
      </c>
      <c r="H21" s="40">
        <v>5</v>
      </c>
      <c r="J21" s="15">
        <v>30</v>
      </c>
      <c r="K21" s="38">
        <v>2348</v>
      </c>
      <c r="L21" s="62"/>
      <c r="M21" s="43">
        <v>0</v>
      </c>
      <c r="N21" s="62">
        <f t="shared" si="7"/>
        <v>2348</v>
      </c>
      <c r="O21" s="62">
        <f t="shared" si="8"/>
        <v>234.8</v>
      </c>
      <c r="P21" s="62">
        <f t="shared" si="9"/>
        <v>40.150800000000004</v>
      </c>
      <c r="Q21" s="62">
        <f t="shared" si="10"/>
        <v>11.74</v>
      </c>
      <c r="R21" s="62">
        <f t="shared" si="11"/>
        <v>11.74</v>
      </c>
      <c r="S21" s="43">
        <v>0</v>
      </c>
      <c r="T21" s="43">
        <f t="shared" si="12"/>
        <v>298.43080000000003</v>
      </c>
      <c r="U21" s="43">
        <f t="shared" si="13"/>
        <v>2049.5691999999999</v>
      </c>
      <c r="V21" s="44"/>
      <c r="X21" s="45"/>
    </row>
    <row r="22" spans="1:24" ht="23.25" customHeight="1">
      <c r="A22" s="14">
        <v>12</v>
      </c>
      <c r="B22" s="21" t="s">
        <v>96</v>
      </c>
      <c r="C22" s="21" t="s">
        <v>97</v>
      </c>
      <c r="D22" s="20"/>
      <c r="E22" s="22" t="s">
        <v>40</v>
      </c>
      <c r="F22" s="41" t="s">
        <v>40</v>
      </c>
      <c r="G22" s="30">
        <v>44197</v>
      </c>
      <c r="H22" s="63">
        <v>5</v>
      </c>
      <c r="I22" s="64"/>
      <c r="J22" s="14">
        <v>30</v>
      </c>
      <c r="K22" s="62">
        <v>2122</v>
      </c>
      <c r="L22" s="62"/>
      <c r="M22" s="43">
        <v>0</v>
      </c>
      <c r="N22" s="62">
        <f t="shared" si="7"/>
        <v>2122</v>
      </c>
      <c r="O22" s="62">
        <f t="shared" si="8"/>
        <v>212.20000000000002</v>
      </c>
      <c r="P22" s="62">
        <f t="shared" si="9"/>
        <v>36.286200000000001</v>
      </c>
      <c r="Q22" s="62">
        <f t="shared" si="10"/>
        <v>10.61</v>
      </c>
      <c r="R22" s="62">
        <f t="shared" si="11"/>
        <v>10.61</v>
      </c>
      <c r="S22" s="43">
        <v>0</v>
      </c>
      <c r="T22" s="43">
        <f t="shared" si="12"/>
        <v>269.70620000000002</v>
      </c>
      <c r="U22" s="43">
        <f t="shared" si="13"/>
        <v>1852.2937999999999</v>
      </c>
      <c r="V22" s="44"/>
      <c r="X22" s="45"/>
    </row>
    <row r="23" spans="1:24" ht="23.25" customHeight="1">
      <c r="A23" s="57">
        <v>13</v>
      </c>
      <c r="B23" s="41" t="s">
        <v>82</v>
      </c>
      <c r="C23" s="41" t="s">
        <v>83</v>
      </c>
      <c r="D23" s="42"/>
      <c r="E23" s="14"/>
      <c r="F23" s="41" t="s">
        <v>36</v>
      </c>
      <c r="G23" s="30">
        <v>44228</v>
      </c>
      <c r="H23" s="40">
        <v>4</v>
      </c>
      <c r="J23" s="15">
        <v>30</v>
      </c>
      <c r="K23" s="38">
        <v>2122</v>
      </c>
      <c r="L23" s="62"/>
      <c r="M23" s="43">
        <v>0</v>
      </c>
      <c r="N23" s="62">
        <f t="shared" si="7"/>
        <v>2122</v>
      </c>
      <c r="O23" s="62">
        <f t="shared" si="8"/>
        <v>212.20000000000002</v>
      </c>
      <c r="P23" s="62">
        <f t="shared" si="9"/>
        <v>36.286200000000001</v>
      </c>
      <c r="Q23" s="62">
        <f t="shared" si="10"/>
        <v>10.61</v>
      </c>
      <c r="R23" s="62">
        <f t="shared" si="11"/>
        <v>10.61</v>
      </c>
      <c r="S23" s="43">
        <v>0</v>
      </c>
      <c r="T23" s="43">
        <f t="shared" si="12"/>
        <v>269.70620000000002</v>
      </c>
      <c r="U23" s="43">
        <f t="shared" si="13"/>
        <v>1852.2937999999999</v>
      </c>
      <c r="V23" s="44"/>
      <c r="X23" s="45"/>
    </row>
    <row r="24" spans="1:24" ht="23.25" customHeight="1">
      <c r="A24" s="57">
        <v>14</v>
      </c>
      <c r="B24" s="41" t="s">
        <v>35</v>
      </c>
      <c r="C24" s="41" t="s">
        <v>64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2272.42</v>
      </c>
      <c r="L24" s="62"/>
      <c r="M24" s="43">
        <v>0</v>
      </c>
      <c r="N24" s="62">
        <f t="shared" si="7"/>
        <v>2272.42</v>
      </c>
      <c r="O24" s="62">
        <f t="shared" si="8"/>
        <v>227.24200000000002</v>
      </c>
      <c r="P24" s="62">
        <f t="shared" si="9"/>
        <v>38.858382000000006</v>
      </c>
      <c r="Q24" s="62">
        <f t="shared" si="10"/>
        <v>11.3621</v>
      </c>
      <c r="R24" s="62">
        <f t="shared" si="11"/>
        <v>11.3621</v>
      </c>
      <c r="S24" s="43">
        <v>0</v>
      </c>
      <c r="T24" s="43">
        <f t="shared" si="12"/>
        <v>288.82458200000002</v>
      </c>
      <c r="U24" s="43">
        <f t="shared" si="13"/>
        <v>1983.5954180000001</v>
      </c>
      <c r="V24" s="44"/>
      <c r="X24" s="45"/>
    </row>
    <row r="25" spans="1:24" ht="23.25" customHeight="1">
      <c r="A25" s="57">
        <v>15</v>
      </c>
      <c r="B25" s="41" t="s">
        <v>41</v>
      </c>
      <c r="C25" s="41" t="s">
        <v>72</v>
      </c>
      <c r="D25" s="42"/>
      <c r="E25" s="14"/>
      <c r="F25" s="41" t="s">
        <v>73</v>
      </c>
      <c r="G25" s="30">
        <v>44228</v>
      </c>
      <c r="H25" s="40">
        <v>6</v>
      </c>
      <c r="J25" s="15">
        <v>30</v>
      </c>
      <c r="K25" s="38">
        <v>2122</v>
      </c>
      <c r="L25" s="62"/>
      <c r="M25" s="43">
        <v>0</v>
      </c>
      <c r="N25" s="62">
        <f t="shared" si="7"/>
        <v>2122</v>
      </c>
      <c r="O25" s="62">
        <f t="shared" si="8"/>
        <v>212.20000000000002</v>
      </c>
      <c r="P25" s="62">
        <f t="shared" si="9"/>
        <v>36.286200000000001</v>
      </c>
      <c r="Q25" s="62">
        <f t="shared" si="10"/>
        <v>10.61</v>
      </c>
      <c r="R25" s="62">
        <f t="shared" si="11"/>
        <v>10.61</v>
      </c>
      <c r="S25" s="43">
        <v>0</v>
      </c>
      <c r="T25" s="43">
        <f t="shared" si="12"/>
        <v>269.70620000000002</v>
      </c>
      <c r="U25" s="43">
        <f t="shared" si="13"/>
        <v>1852.2937999999999</v>
      </c>
      <c r="V25" s="44"/>
      <c r="X25" s="45"/>
    </row>
    <row r="26" spans="1:24" ht="23.25" customHeight="1">
      <c r="A26" s="14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44228</v>
      </c>
      <c r="H26" s="40">
        <v>5</v>
      </c>
      <c r="J26" s="15">
        <v>30</v>
      </c>
      <c r="K26" s="38">
        <v>2122</v>
      </c>
      <c r="L26" s="62"/>
      <c r="M26" s="43">
        <v>0</v>
      </c>
      <c r="N26" s="62">
        <f t="shared" si="7"/>
        <v>2122</v>
      </c>
      <c r="O26" s="62">
        <f t="shared" si="8"/>
        <v>212.20000000000002</v>
      </c>
      <c r="P26" s="62">
        <f t="shared" si="9"/>
        <v>36.286200000000001</v>
      </c>
      <c r="Q26" s="62">
        <f t="shared" si="10"/>
        <v>10.61</v>
      </c>
      <c r="R26" s="62">
        <f t="shared" si="11"/>
        <v>10.61</v>
      </c>
      <c r="S26" s="43">
        <v>0</v>
      </c>
      <c r="T26" s="43">
        <f t="shared" si="12"/>
        <v>269.70620000000002</v>
      </c>
      <c r="U26" s="43">
        <f t="shared" si="13"/>
        <v>1852.2937999999999</v>
      </c>
      <c r="V26" s="44"/>
      <c r="X26" s="45"/>
    </row>
    <row r="27" spans="1:24" ht="23.25" customHeight="1">
      <c r="A27" s="57">
        <v>17</v>
      </c>
      <c r="B27" s="41" t="s">
        <v>50</v>
      </c>
      <c r="C27" s="41" t="s">
        <v>66</v>
      </c>
      <c r="D27" s="42"/>
      <c r="E27" s="14"/>
      <c r="F27" s="41" t="s">
        <v>51</v>
      </c>
      <c r="G27" s="30">
        <v>44228</v>
      </c>
      <c r="H27" s="40">
        <v>5</v>
      </c>
      <c r="J27" s="15">
        <v>30</v>
      </c>
      <c r="K27" s="38">
        <v>2122</v>
      </c>
      <c r="L27" s="62"/>
      <c r="M27" s="43">
        <v>0</v>
      </c>
      <c r="N27" s="62">
        <f t="shared" si="7"/>
        <v>2122</v>
      </c>
      <c r="O27" s="62">
        <f t="shared" si="8"/>
        <v>212.20000000000002</v>
      </c>
      <c r="P27" s="62">
        <f t="shared" si="9"/>
        <v>36.286200000000001</v>
      </c>
      <c r="Q27" s="62">
        <f t="shared" si="10"/>
        <v>10.61</v>
      </c>
      <c r="R27" s="62">
        <f t="shared" si="11"/>
        <v>10.61</v>
      </c>
      <c r="S27" s="43">
        <v>0</v>
      </c>
      <c r="T27" s="43">
        <f t="shared" si="12"/>
        <v>269.70620000000002</v>
      </c>
      <c r="U27" s="43">
        <f t="shared" si="13"/>
        <v>1852.2937999999999</v>
      </c>
      <c r="V27" s="44"/>
      <c r="X27" s="45"/>
    </row>
    <row r="28" spans="1:24" s="18" customFormat="1" ht="21" customHeight="1">
      <c r="A28" s="33"/>
      <c r="B28" s="34"/>
      <c r="C28" s="35" t="s">
        <v>22</v>
      </c>
      <c r="D28" s="34"/>
      <c r="E28" s="36"/>
      <c r="F28" s="34"/>
      <c r="G28" s="34"/>
      <c r="H28" s="65"/>
      <c r="I28" s="65"/>
      <c r="J28" s="37"/>
      <c r="K28" s="32">
        <f>SUM(K11:K27)</f>
        <v>39079.85</v>
      </c>
      <c r="L28" s="32"/>
      <c r="M28" s="32">
        <f t="shared" ref="M28:S28" si="14">SUM(M14:M27)</f>
        <v>318.3</v>
      </c>
      <c r="N28" s="32">
        <f>SUM(N11:N27)</f>
        <v>39398.15</v>
      </c>
      <c r="O28" s="32">
        <f>SUM(O11:O27)</f>
        <v>3939.8150000000001</v>
      </c>
      <c r="P28" s="32">
        <f>SUM(P11:P27)</f>
        <v>673.70836500000007</v>
      </c>
      <c r="Q28" s="32">
        <f>SUM(Q11:Q27)</f>
        <v>196.99075000000005</v>
      </c>
      <c r="R28" s="32">
        <f>SUM(R11:R27)</f>
        <v>196.99075000000005</v>
      </c>
      <c r="S28" s="32">
        <f t="shared" si="14"/>
        <v>0</v>
      </c>
      <c r="T28" s="32">
        <f>SUM(T11:T27)</f>
        <v>5007.5048649999999</v>
      </c>
      <c r="U28" s="32">
        <f>SUM(U11:U27)</f>
        <v>34390.645134999999</v>
      </c>
      <c r="V28" s="19"/>
    </row>
    <row r="29" spans="1:24" s="18" customFormat="1" ht="9.75" customHeight="1">
      <c r="A29"/>
      <c r="B29"/>
      <c r="C29"/>
      <c r="D29"/>
      <c r="E29" s="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s="23">
        <f>SUM(T28:T28)</f>
        <v>5007.5048649999999</v>
      </c>
      <c r="U29" s="23"/>
    </row>
    <row r="30" spans="1:24">
      <c r="N30" s="46"/>
    </row>
    <row r="31" spans="1:24" s="18" customForma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4" s="18" customFormat="1">
      <c r="A32"/>
      <c r="B32"/>
      <c r="C32"/>
      <c r="D32"/>
      <c r="E32" s="9"/>
      <c r="F32"/>
      <c r="G32"/>
      <c r="H32"/>
      <c r="I32"/>
      <c r="J32"/>
      <c r="K32" t="s">
        <v>107</v>
      </c>
      <c r="L32"/>
      <c r="M32"/>
      <c r="N32"/>
      <c r="O32"/>
      <c r="P32"/>
      <c r="Q32"/>
      <c r="R32"/>
      <c r="S32"/>
      <c r="T32"/>
      <c r="U32"/>
      <c r="V32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Hoja7"/>
  <dimension ref="A1:X36"/>
  <sheetViews>
    <sheetView topLeftCell="A23" workbookViewId="0">
      <selection activeCell="K31" sqref="K31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110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108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2122</v>
      </c>
      <c r="L11" s="60"/>
      <c r="M11" s="43">
        <v>0</v>
      </c>
      <c r="N11" s="62">
        <f t="shared" ref="N11:N31" si="0">K11+M11</f>
        <v>2122</v>
      </c>
      <c r="O11" s="62">
        <f t="shared" ref="O11:O31" si="1">+N11*0.1</f>
        <v>212.20000000000002</v>
      </c>
      <c r="P11" s="62">
        <f t="shared" ref="P11:P31" si="2">+N11*0.0171</f>
        <v>36.286200000000001</v>
      </c>
      <c r="Q11" s="62">
        <f t="shared" ref="Q11:Q31" si="3">+N11*0.005</f>
        <v>10.61</v>
      </c>
      <c r="R11" s="62">
        <f t="shared" ref="R11:R31" si="4">N11*0.5%</f>
        <v>10.61</v>
      </c>
      <c r="S11" s="43">
        <v>0</v>
      </c>
      <c r="T11" s="43">
        <f t="shared" ref="T11:T31" si="5">+O11+P11+Q11+R11+S11</f>
        <v>269.70620000000002</v>
      </c>
      <c r="U11" s="43">
        <f t="shared" ref="U11:U31" si="6">+N11-T11</f>
        <v>1852.2937999999999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2122</v>
      </c>
      <c r="L13" s="60"/>
      <c r="M13" s="43">
        <v>0</v>
      </c>
      <c r="N13" s="62">
        <f t="shared" si="0"/>
        <v>2122</v>
      </c>
      <c r="O13" s="62">
        <f t="shared" si="1"/>
        <v>212.20000000000002</v>
      </c>
      <c r="P13" s="62">
        <f t="shared" si="2"/>
        <v>36.286200000000001</v>
      </c>
      <c r="Q13" s="62">
        <f t="shared" si="3"/>
        <v>10.61</v>
      </c>
      <c r="R13" s="62">
        <f t="shared" si="4"/>
        <v>10.61</v>
      </c>
      <c r="S13" s="43">
        <v>0</v>
      </c>
      <c r="T13" s="43">
        <f t="shared" si="5"/>
        <v>269.70620000000002</v>
      </c>
      <c r="U13" s="43">
        <f t="shared" si="6"/>
        <v>1852.2937999999999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19</v>
      </c>
      <c r="C16" s="41" t="s">
        <v>20</v>
      </c>
      <c r="D16" s="42">
        <v>22218</v>
      </c>
      <c r="E16" s="14" t="s">
        <v>18</v>
      </c>
      <c r="F16" s="41" t="s">
        <v>34</v>
      </c>
      <c r="G16" s="30">
        <v>44256</v>
      </c>
      <c r="H16" s="40">
        <v>6</v>
      </c>
      <c r="J16" s="15">
        <v>30</v>
      </c>
      <c r="K16" s="38">
        <v>2291.21</v>
      </c>
      <c r="L16" s="62"/>
      <c r="M16" s="43">
        <v>0</v>
      </c>
      <c r="N16" s="62">
        <f t="shared" si="0"/>
        <v>2291.21</v>
      </c>
      <c r="O16" s="62">
        <f t="shared" si="1"/>
        <v>229.12100000000001</v>
      </c>
      <c r="P16" s="62">
        <f t="shared" si="2"/>
        <v>39.179691000000005</v>
      </c>
      <c r="Q16" s="62">
        <f t="shared" si="3"/>
        <v>11.456050000000001</v>
      </c>
      <c r="R16" s="62">
        <f t="shared" si="4"/>
        <v>11.456050000000001</v>
      </c>
      <c r="S16" s="43">
        <v>0</v>
      </c>
      <c r="T16" s="43">
        <f t="shared" si="5"/>
        <v>291.21279100000004</v>
      </c>
      <c r="U16" s="43">
        <f t="shared" si="6"/>
        <v>1999.9972090000001</v>
      </c>
      <c r="V16" s="44"/>
      <c r="X16" s="45"/>
    </row>
    <row r="17" spans="1:24" ht="22.5" customHeight="1">
      <c r="A17" s="57">
        <v>7</v>
      </c>
      <c r="B17" s="41" t="s">
        <v>101</v>
      </c>
      <c r="C17" s="41" t="s">
        <v>102</v>
      </c>
      <c r="D17" s="42"/>
      <c r="E17" s="14"/>
      <c r="F17" s="41" t="s">
        <v>103</v>
      </c>
      <c r="G17" s="30">
        <v>44228</v>
      </c>
      <c r="H17" s="40">
        <v>6</v>
      </c>
      <c r="J17" s="15">
        <v>30</v>
      </c>
      <c r="K17" s="38">
        <v>2122</v>
      </c>
      <c r="L17" s="62"/>
      <c r="M17" s="43">
        <v>0</v>
      </c>
      <c r="N17" s="62">
        <f t="shared" si="0"/>
        <v>2122</v>
      </c>
      <c r="O17" s="62">
        <f t="shared" si="1"/>
        <v>212.20000000000002</v>
      </c>
      <c r="P17" s="62">
        <f t="shared" si="2"/>
        <v>36.286200000000001</v>
      </c>
      <c r="Q17" s="62">
        <f t="shared" si="3"/>
        <v>10.61</v>
      </c>
      <c r="R17" s="62">
        <f t="shared" si="4"/>
        <v>10.61</v>
      </c>
      <c r="S17" s="43">
        <v>0</v>
      </c>
      <c r="T17" s="43">
        <f t="shared" si="5"/>
        <v>269.70620000000002</v>
      </c>
      <c r="U17" s="43">
        <f t="shared" si="6"/>
        <v>1852.2937999999999</v>
      </c>
      <c r="V17" s="44"/>
      <c r="X17" s="45"/>
    </row>
    <row r="18" spans="1:24" ht="22.5" customHeight="1">
      <c r="A18" s="57">
        <v>8</v>
      </c>
      <c r="B18" s="41" t="s">
        <v>105</v>
      </c>
      <c r="C18" s="41" t="s">
        <v>104</v>
      </c>
      <c r="D18" s="42"/>
      <c r="E18" s="14"/>
      <c r="F18" s="41" t="s">
        <v>32</v>
      </c>
      <c r="G18" s="30">
        <v>44228</v>
      </c>
      <c r="H18" s="40">
        <v>5</v>
      </c>
      <c r="J18" s="15">
        <v>30</v>
      </c>
      <c r="K18" s="38">
        <v>2122</v>
      </c>
      <c r="L18" s="62"/>
      <c r="M18" s="43">
        <v>0</v>
      </c>
      <c r="N18" s="62">
        <f t="shared" si="0"/>
        <v>2122</v>
      </c>
      <c r="O18" s="62">
        <f t="shared" si="1"/>
        <v>212.20000000000002</v>
      </c>
      <c r="P18" s="62">
        <f t="shared" si="2"/>
        <v>36.286200000000001</v>
      </c>
      <c r="Q18" s="62">
        <f t="shared" si="3"/>
        <v>10.61</v>
      </c>
      <c r="R18" s="62">
        <f t="shared" si="4"/>
        <v>10.61</v>
      </c>
      <c r="S18" s="43">
        <v>0</v>
      </c>
      <c r="T18" s="43">
        <f t="shared" si="5"/>
        <v>269.70620000000002</v>
      </c>
      <c r="U18" s="43">
        <f t="shared" si="6"/>
        <v>1852.2937999999999</v>
      </c>
      <c r="V18" s="44"/>
      <c r="X18" s="45"/>
    </row>
    <row r="19" spans="1:24" ht="22.5" customHeight="1">
      <c r="A19" s="57">
        <v>9</v>
      </c>
      <c r="B19" s="41" t="s">
        <v>69</v>
      </c>
      <c r="C19" s="41" t="s">
        <v>70</v>
      </c>
      <c r="D19" s="42"/>
      <c r="E19" s="14"/>
      <c r="F19" s="41" t="s">
        <v>71</v>
      </c>
      <c r="G19" s="30">
        <v>44212</v>
      </c>
      <c r="H19" s="63">
        <v>6</v>
      </c>
      <c r="I19" s="64"/>
      <c r="J19" s="14">
        <v>30</v>
      </c>
      <c r="K19" s="62">
        <v>2122</v>
      </c>
      <c r="L19" s="62"/>
      <c r="M19" s="43">
        <v>0</v>
      </c>
      <c r="N19" s="62">
        <f t="shared" si="0"/>
        <v>2122</v>
      </c>
      <c r="O19" s="62">
        <f t="shared" si="1"/>
        <v>212.20000000000002</v>
      </c>
      <c r="P19" s="62">
        <f t="shared" si="2"/>
        <v>36.286200000000001</v>
      </c>
      <c r="Q19" s="62">
        <f t="shared" si="3"/>
        <v>10.61</v>
      </c>
      <c r="R19" s="62">
        <f t="shared" si="4"/>
        <v>10.61</v>
      </c>
      <c r="S19" s="43">
        <v>0</v>
      </c>
      <c r="T19" s="43">
        <f t="shared" si="5"/>
        <v>269.70620000000002</v>
      </c>
      <c r="U19" s="43">
        <f t="shared" si="6"/>
        <v>1852.2937999999999</v>
      </c>
      <c r="V19" s="44"/>
      <c r="X19" s="45"/>
    </row>
    <row r="20" spans="1:24" ht="22.5" customHeight="1">
      <c r="A20" s="57">
        <v>10</v>
      </c>
      <c r="B20" s="21" t="s">
        <v>85</v>
      </c>
      <c r="C20" s="21" t="s">
        <v>86</v>
      </c>
      <c r="D20" s="20"/>
      <c r="E20" s="22" t="s">
        <v>40</v>
      </c>
      <c r="F20" s="30" t="s">
        <v>40</v>
      </c>
      <c r="G20" s="30">
        <v>44197</v>
      </c>
      <c r="H20" s="14">
        <v>5</v>
      </c>
      <c r="I20" s="43">
        <v>2122</v>
      </c>
      <c r="J20" s="14">
        <v>30</v>
      </c>
      <c r="K20" s="62">
        <v>2122</v>
      </c>
      <c r="L20" s="62"/>
      <c r="M20" s="43">
        <v>0</v>
      </c>
      <c r="N20" s="62">
        <f t="shared" si="0"/>
        <v>2122</v>
      </c>
      <c r="O20" s="62">
        <f t="shared" si="1"/>
        <v>212.20000000000002</v>
      </c>
      <c r="P20" s="62">
        <f t="shared" si="2"/>
        <v>36.286200000000001</v>
      </c>
      <c r="Q20" s="62">
        <f t="shared" si="3"/>
        <v>10.61</v>
      </c>
      <c r="R20" s="62">
        <f t="shared" si="4"/>
        <v>10.61</v>
      </c>
      <c r="S20" s="43">
        <v>0</v>
      </c>
      <c r="T20" s="43">
        <f t="shared" si="5"/>
        <v>269.70620000000002</v>
      </c>
      <c r="U20" s="43">
        <f t="shared" si="6"/>
        <v>1852.2937999999999</v>
      </c>
      <c r="V20" s="44"/>
      <c r="X20" s="45"/>
    </row>
    <row r="21" spans="1:24" ht="22.5" customHeight="1">
      <c r="A21" s="57">
        <v>11</v>
      </c>
      <c r="B21" s="41" t="s">
        <v>45</v>
      </c>
      <c r="C21" s="41" t="s">
        <v>46</v>
      </c>
      <c r="D21" s="42"/>
      <c r="E21" s="14"/>
      <c r="F21" s="41" t="s">
        <v>47</v>
      </c>
      <c r="G21" s="30">
        <v>43101</v>
      </c>
      <c r="H21" s="63">
        <v>6</v>
      </c>
      <c r="I21" s="64"/>
      <c r="J21" s="14">
        <v>30</v>
      </c>
      <c r="K21" s="62">
        <v>2142.4</v>
      </c>
      <c r="L21" s="62"/>
      <c r="M21" s="43">
        <v>318.3</v>
      </c>
      <c r="N21" s="62">
        <f t="shared" si="0"/>
        <v>2460.7000000000003</v>
      </c>
      <c r="O21" s="62">
        <f t="shared" si="1"/>
        <v>246.07000000000005</v>
      </c>
      <c r="P21" s="62">
        <f t="shared" si="2"/>
        <v>42.077970000000008</v>
      </c>
      <c r="Q21" s="62">
        <f t="shared" si="3"/>
        <v>12.303500000000001</v>
      </c>
      <c r="R21" s="62">
        <f t="shared" si="4"/>
        <v>12.303500000000001</v>
      </c>
      <c r="S21" s="43">
        <v>0</v>
      </c>
      <c r="T21" s="43">
        <f t="shared" si="5"/>
        <v>312.75497000000001</v>
      </c>
      <c r="U21" s="43">
        <f t="shared" si="6"/>
        <v>2147.9450300000003</v>
      </c>
      <c r="V21" s="44"/>
      <c r="X21" s="45"/>
    </row>
    <row r="22" spans="1:24" ht="22.5" customHeight="1">
      <c r="A22" s="57">
        <v>12</v>
      </c>
      <c r="B22" s="41" t="s">
        <v>31</v>
      </c>
      <c r="C22" s="41" t="s">
        <v>62</v>
      </c>
      <c r="D22" s="42"/>
      <c r="E22" s="14"/>
      <c r="F22" s="41" t="s">
        <v>32</v>
      </c>
      <c r="G22" s="30">
        <v>44228</v>
      </c>
      <c r="H22" s="40">
        <v>5</v>
      </c>
      <c r="J22" s="15">
        <v>30</v>
      </c>
      <c r="K22" s="38">
        <v>2348</v>
      </c>
      <c r="L22" s="62"/>
      <c r="M22" s="43">
        <v>0</v>
      </c>
      <c r="N22" s="62">
        <f t="shared" si="0"/>
        <v>2348</v>
      </c>
      <c r="O22" s="62">
        <f t="shared" si="1"/>
        <v>234.8</v>
      </c>
      <c r="P22" s="62">
        <f t="shared" si="2"/>
        <v>40.150800000000004</v>
      </c>
      <c r="Q22" s="62">
        <f t="shared" si="3"/>
        <v>11.74</v>
      </c>
      <c r="R22" s="62">
        <f t="shared" si="4"/>
        <v>11.74</v>
      </c>
      <c r="S22" s="43">
        <v>0</v>
      </c>
      <c r="T22" s="43">
        <f t="shared" si="5"/>
        <v>298.43080000000003</v>
      </c>
      <c r="U22" s="43">
        <f t="shared" si="6"/>
        <v>2049.5691999999999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63</v>
      </c>
      <c r="D23" s="42"/>
      <c r="E23" s="14"/>
      <c r="F23" s="41" t="s">
        <v>40</v>
      </c>
      <c r="G23" s="30">
        <v>44256</v>
      </c>
      <c r="H23" s="40">
        <v>6</v>
      </c>
      <c r="J23" s="15">
        <v>30</v>
      </c>
      <c r="K23" s="38">
        <v>2291.21</v>
      </c>
      <c r="L23" s="62"/>
      <c r="M23" s="43">
        <v>0</v>
      </c>
      <c r="N23" s="62">
        <f t="shared" si="0"/>
        <v>2291.21</v>
      </c>
      <c r="O23" s="62">
        <f t="shared" si="1"/>
        <v>229.12100000000001</v>
      </c>
      <c r="P23" s="62">
        <f t="shared" si="2"/>
        <v>39.179691000000005</v>
      </c>
      <c r="Q23" s="62">
        <f t="shared" si="3"/>
        <v>11.456050000000001</v>
      </c>
      <c r="R23" s="62">
        <f t="shared" si="4"/>
        <v>11.456050000000001</v>
      </c>
      <c r="S23" s="43">
        <v>0</v>
      </c>
      <c r="T23" s="43">
        <f t="shared" si="5"/>
        <v>291.21279100000004</v>
      </c>
      <c r="U23" s="43">
        <f t="shared" si="6"/>
        <v>1999.9972090000001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97</v>
      </c>
      <c r="D24" s="20"/>
      <c r="E24" s="22" t="s">
        <v>40</v>
      </c>
      <c r="F24" s="41" t="s">
        <v>40</v>
      </c>
      <c r="G24" s="30">
        <v>44197</v>
      </c>
      <c r="H24" s="63">
        <v>5</v>
      </c>
      <c r="I24" s="64"/>
      <c r="J24" s="14">
        <v>30</v>
      </c>
      <c r="K24" s="62">
        <v>2122</v>
      </c>
      <c r="L24" s="62"/>
      <c r="M24" s="43">
        <v>0</v>
      </c>
      <c r="N24" s="62">
        <f t="shared" si="0"/>
        <v>2122</v>
      </c>
      <c r="O24" s="62">
        <f t="shared" si="1"/>
        <v>212.20000000000002</v>
      </c>
      <c r="P24" s="62">
        <f t="shared" si="2"/>
        <v>36.286200000000001</v>
      </c>
      <c r="Q24" s="62">
        <f t="shared" si="3"/>
        <v>10.61</v>
      </c>
      <c r="R24" s="62">
        <f t="shared" si="4"/>
        <v>10.61</v>
      </c>
      <c r="S24" s="43">
        <v>0</v>
      </c>
      <c r="T24" s="43">
        <f t="shared" si="5"/>
        <v>269.70620000000002</v>
      </c>
      <c r="U24" s="43">
        <f t="shared" si="6"/>
        <v>1852.2937999999999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44228</v>
      </c>
      <c r="H25" s="40">
        <v>4</v>
      </c>
      <c r="J25" s="15">
        <v>30</v>
      </c>
      <c r="K25" s="38">
        <v>2122</v>
      </c>
      <c r="L25" s="62"/>
      <c r="M25" s="43">
        <v>0</v>
      </c>
      <c r="N25" s="62">
        <f t="shared" si="0"/>
        <v>2122</v>
      </c>
      <c r="O25" s="62">
        <f t="shared" si="1"/>
        <v>212.20000000000002</v>
      </c>
      <c r="P25" s="62">
        <f t="shared" si="2"/>
        <v>36.286200000000001</v>
      </c>
      <c r="Q25" s="62">
        <f t="shared" si="3"/>
        <v>10.61</v>
      </c>
      <c r="R25" s="62">
        <f t="shared" si="4"/>
        <v>10.61</v>
      </c>
      <c r="S25" s="43">
        <v>0</v>
      </c>
      <c r="T25" s="43">
        <f t="shared" si="5"/>
        <v>269.70620000000002</v>
      </c>
      <c r="U25" s="43">
        <f t="shared" si="6"/>
        <v>1852.2937999999999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44228</v>
      </c>
      <c r="H26" s="40">
        <v>4</v>
      </c>
      <c r="J26" s="15">
        <v>30</v>
      </c>
      <c r="K26" s="38">
        <v>2272.42</v>
      </c>
      <c r="L26" s="62"/>
      <c r="M26" s="43">
        <v>0</v>
      </c>
      <c r="N26" s="62">
        <f t="shared" si="0"/>
        <v>2272.42</v>
      </c>
      <c r="O26" s="62">
        <f t="shared" si="1"/>
        <v>227.24200000000002</v>
      </c>
      <c r="P26" s="62">
        <f t="shared" si="2"/>
        <v>38.858382000000006</v>
      </c>
      <c r="Q26" s="62">
        <f t="shared" si="3"/>
        <v>11.3621</v>
      </c>
      <c r="R26" s="62">
        <f t="shared" si="4"/>
        <v>11.3621</v>
      </c>
      <c r="S26" s="43">
        <v>0</v>
      </c>
      <c r="T26" s="43">
        <f t="shared" si="5"/>
        <v>288.82458200000002</v>
      </c>
      <c r="U26" s="43">
        <f t="shared" si="6"/>
        <v>1983.5954180000001</v>
      </c>
      <c r="V26" s="44"/>
      <c r="X26" s="45"/>
    </row>
    <row r="27" spans="1:24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44228</v>
      </c>
      <c r="H27" s="40">
        <v>6</v>
      </c>
      <c r="J27" s="15">
        <v>30</v>
      </c>
      <c r="K27" s="38">
        <v>2122</v>
      </c>
      <c r="L27" s="62"/>
      <c r="M27" s="43">
        <v>0</v>
      </c>
      <c r="N27" s="62">
        <f t="shared" si="0"/>
        <v>2122</v>
      </c>
      <c r="O27" s="62">
        <f t="shared" si="1"/>
        <v>212.20000000000002</v>
      </c>
      <c r="P27" s="62">
        <f t="shared" si="2"/>
        <v>36.286200000000001</v>
      </c>
      <c r="Q27" s="62">
        <f t="shared" si="3"/>
        <v>10.61</v>
      </c>
      <c r="R27" s="62">
        <f t="shared" si="4"/>
        <v>10.61</v>
      </c>
      <c r="S27" s="43">
        <v>0</v>
      </c>
      <c r="T27" s="43">
        <f t="shared" si="5"/>
        <v>269.70620000000002</v>
      </c>
      <c r="U27" s="43">
        <f t="shared" si="6"/>
        <v>1852.2937999999999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30">
        <v>44228</v>
      </c>
      <c r="H28" s="40">
        <v>5</v>
      </c>
      <c r="J28" s="15">
        <v>30</v>
      </c>
      <c r="K28" s="38">
        <v>2122</v>
      </c>
      <c r="L28" s="62"/>
      <c r="M28" s="43">
        <v>0</v>
      </c>
      <c r="N28" s="62">
        <f t="shared" si="0"/>
        <v>2122</v>
      </c>
      <c r="O28" s="62">
        <f t="shared" si="1"/>
        <v>212.20000000000002</v>
      </c>
      <c r="P28" s="62">
        <f t="shared" si="2"/>
        <v>36.286200000000001</v>
      </c>
      <c r="Q28" s="62">
        <f t="shared" si="3"/>
        <v>10.61</v>
      </c>
      <c r="R28" s="62">
        <f t="shared" si="4"/>
        <v>10.61</v>
      </c>
      <c r="S28" s="43">
        <v>0</v>
      </c>
      <c r="T28" s="43">
        <f t="shared" si="5"/>
        <v>269.70620000000002</v>
      </c>
      <c r="U28" s="43">
        <f t="shared" si="6"/>
        <v>1852.2937999999999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44228</v>
      </c>
      <c r="H29" s="74">
        <v>5</v>
      </c>
      <c r="J29" s="75">
        <v>30</v>
      </c>
      <c r="K29" s="38">
        <v>2122</v>
      </c>
      <c r="L29" s="62"/>
      <c r="M29" s="43">
        <v>0</v>
      </c>
      <c r="N29" s="62">
        <f t="shared" si="0"/>
        <v>2122</v>
      </c>
      <c r="O29" s="62">
        <f t="shared" si="1"/>
        <v>212.20000000000002</v>
      </c>
      <c r="P29" s="62">
        <f t="shared" si="2"/>
        <v>36.286200000000001</v>
      </c>
      <c r="Q29" s="62">
        <f t="shared" si="3"/>
        <v>10.61</v>
      </c>
      <c r="R29" s="62">
        <f t="shared" si="4"/>
        <v>10.61</v>
      </c>
      <c r="S29" s="43">
        <v>0</v>
      </c>
      <c r="T29" s="43">
        <f t="shared" si="5"/>
        <v>269.70620000000002</v>
      </c>
      <c r="U29" s="43">
        <f t="shared" si="6"/>
        <v>1852.2937999999999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84</v>
      </c>
      <c r="D30" s="42"/>
      <c r="E30" s="14"/>
      <c r="F30" s="41" t="s">
        <v>36</v>
      </c>
      <c r="G30" s="30">
        <v>44256</v>
      </c>
      <c r="H30" s="40">
        <v>5</v>
      </c>
      <c r="I30" s="76"/>
      <c r="J30" s="75">
        <v>30</v>
      </c>
      <c r="K30" s="68">
        <v>2122</v>
      </c>
      <c r="L30" s="69"/>
      <c r="M30" s="43">
        <v>0</v>
      </c>
      <c r="N30" s="62">
        <f t="shared" si="0"/>
        <v>2122</v>
      </c>
      <c r="O30" s="62">
        <f t="shared" si="1"/>
        <v>212.20000000000002</v>
      </c>
      <c r="P30" s="62">
        <f t="shared" si="2"/>
        <v>36.286200000000001</v>
      </c>
      <c r="Q30" s="62">
        <f t="shared" si="3"/>
        <v>10.61</v>
      </c>
      <c r="R30" s="62">
        <f t="shared" si="4"/>
        <v>10.61</v>
      </c>
      <c r="S30" s="43">
        <v>0</v>
      </c>
      <c r="T30" s="43">
        <f t="shared" si="5"/>
        <v>269.70620000000002</v>
      </c>
      <c r="U30" s="43">
        <f t="shared" si="6"/>
        <v>1852.2937999999999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44256</v>
      </c>
      <c r="H31" s="40">
        <v>5</v>
      </c>
      <c r="I31" s="76"/>
      <c r="J31" s="75">
        <v>30</v>
      </c>
      <c r="K31" s="68">
        <v>2122</v>
      </c>
      <c r="L31" s="69"/>
      <c r="M31" s="43">
        <v>0</v>
      </c>
      <c r="N31" s="62">
        <f t="shared" si="0"/>
        <v>2122</v>
      </c>
      <c r="O31" s="62">
        <f t="shared" si="1"/>
        <v>212.20000000000002</v>
      </c>
      <c r="P31" s="62">
        <f t="shared" si="2"/>
        <v>36.286200000000001</v>
      </c>
      <c r="Q31" s="62">
        <f t="shared" si="3"/>
        <v>10.61</v>
      </c>
      <c r="R31" s="62">
        <f t="shared" si="4"/>
        <v>10.61</v>
      </c>
      <c r="S31" s="43">
        <v>0</v>
      </c>
      <c r="T31" s="43">
        <f t="shared" si="5"/>
        <v>269.70620000000002</v>
      </c>
      <c r="U31" s="43">
        <f t="shared" si="6"/>
        <v>1852.2937999999999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47906.27</v>
      </c>
      <c r="L32" s="32"/>
      <c r="M32" s="32">
        <f t="shared" ref="M32" si="7">SUM(M14:M29)</f>
        <v>318.3</v>
      </c>
      <c r="N32" s="32">
        <f>SUM(N11:N31)</f>
        <v>48224.569999999992</v>
      </c>
      <c r="O32" s="32">
        <f>SUM(O11:O31)</f>
        <v>4822.4569999999994</v>
      </c>
      <c r="P32" s="32">
        <f>SUM(P11:P31)</f>
        <v>824.64014700000007</v>
      </c>
      <c r="Q32" s="32">
        <f>SUM(Q11:Q31)</f>
        <v>241.12285000000008</v>
      </c>
      <c r="R32" s="32">
        <f>SUM(R11:R31)</f>
        <v>241.12285000000008</v>
      </c>
      <c r="S32" s="32">
        <f>SUM(S14:S31)</f>
        <v>0</v>
      </c>
      <c r="T32" s="32">
        <f>SUM(T11:T31)</f>
        <v>6129.3428469999981</v>
      </c>
      <c r="U32" s="32">
        <f>SUM(U11:U31)</f>
        <v>42095.227152999993</v>
      </c>
      <c r="V32" s="19"/>
    </row>
    <row r="33" spans="1:22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6129.3428469999981</v>
      </c>
      <c r="U33" s="23"/>
    </row>
    <row r="34" spans="1:22">
      <c r="N34" s="46"/>
    </row>
    <row r="35" spans="1:22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s="18" customFormat="1">
      <c r="A36"/>
      <c r="B36"/>
      <c r="C36"/>
      <c r="D36"/>
      <c r="E36" s="9"/>
      <c r="F36"/>
      <c r="G36"/>
      <c r="H36"/>
      <c r="I36"/>
      <c r="J36"/>
      <c r="K36" t="s">
        <v>109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Hoja8"/>
  <dimension ref="A1:X36"/>
  <sheetViews>
    <sheetView topLeftCell="A20" workbookViewId="0">
      <selection activeCell="G15" sqref="G15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111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108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2122</v>
      </c>
      <c r="L11" s="60"/>
      <c r="M11" s="43">
        <v>0</v>
      </c>
      <c r="N11" s="62">
        <f t="shared" ref="N11:N31" si="0">K11+M11</f>
        <v>2122</v>
      </c>
      <c r="O11" s="62">
        <f t="shared" ref="O11:O31" si="1">+N11*0.1</f>
        <v>212.20000000000002</v>
      </c>
      <c r="P11" s="62">
        <f t="shared" ref="P11:P31" si="2">+N11*0.0171</f>
        <v>36.286200000000001</v>
      </c>
      <c r="Q11" s="62">
        <f t="shared" ref="Q11:Q31" si="3">+N11*0.005</f>
        <v>10.61</v>
      </c>
      <c r="R11" s="62">
        <f t="shared" ref="R11:R31" si="4">N11*0.5%</f>
        <v>10.61</v>
      </c>
      <c r="S11" s="43">
        <v>0</v>
      </c>
      <c r="T11" s="43">
        <f t="shared" ref="T11:T31" si="5">+O11+P11+Q11+R11+S11</f>
        <v>269.70620000000002</v>
      </c>
      <c r="U11" s="43">
        <f t="shared" ref="U11:U31" si="6">+N11-T11</f>
        <v>1852.2937999999999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2122</v>
      </c>
      <c r="L13" s="60"/>
      <c r="M13" s="43">
        <v>0</v>
      </c>
      <c r="N13" s="62">
        <f t="shared" si="0"/>
        <v>2122</v>
      </c>
      <c r="O13" s="62">
        <f t="shared" si="1"/>
        <v>212.20000000000002</v>
      </c>
      <c r="P13" s="62">
        <f t="shared" si="2"/>
        <v>36.286200000000001</v>
      </c>
      <c r="Q13" s="62">
        <f t="shared" si="3"/>
        <v>10.61</v>
      </c>
      <c r="R13" s="62">
        <f t="shared" si="4"/>
        <v>10.61</v>
      </c>
      <c r="S13" s="43">
        <v>0</v>
      </c>
      <c r="T13" s="43">
        <f t="shared" si="5"/>
        <v>269.70620000000002</v>
      </c>
      <c r="U13" s="43">
        <f t="shared" si="6"/>
        <v>1852.2937999999999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19</v>
      </c>
      <c r="C16" s="41" t="s">
        <v>20</v>
      </c>
      <c r="D16" s="42">
        <v>22218</v>
      </c>
      <c r="E16" s="14" t="s">
        <v>18</v>
      </c>
      <c r="F16" s="41" t="s">
        <v>34</v>
      </c>
      <c r="G16" s="30">
        <v>44256</v>
      </c>
      <c r="H16" s="40">
        <v>6</v>
      </c>
      <c r="J16" s="15">
        <v>30</v>
      </c>
      <c r="K16" s="38">
        <v>2291.21</v>
      </c>
      <c r="L16" s="62"/>
      <c r="M16" s="43">
        <v>0</v>
      </c>
      <c r="N16" s="62">
        <f t="shared" si="0"/>
        <v>2291.21</v>
      </c>
      <c r="O16" s="62">
        <f t="shared" si="1"/>
        <v>229.12100000000001</v>
      </c>
      <c r="P16" s="62">
        <f t="shared" si="2"/>
        <v>39.179691000000005</v>
      </c>
      <c r="Q16" s="62">
        <f t="shared" si="3"/>
        <v>11.456050000000001</v>
      </c>
      <c r="R16" s="62">
        <f t="shared" si="4"/>
        <v>11.456050000000001</v>
      </c>
      <c r="S16" s="43">
        <v>0</v>
      </c>
      <c r="T16" s="43">
        <f t="shared" si="5"/>
        <v>291.21279100000004</v>
      </c>
      <c r="U16" s="43">
        <f t="shared" si="6"/>
        <v>1999.9972090000001</v>
      </c>
      <c r="V16" s="44"/>
      <c r="X16" s="45"/>
    </row>
    <row r="17" spans="1:24" ht="22.5" customHeight="1">
      <c r="A17" s="57">
        <v>7</v>
      </c>
      <c r="B17" s="41" t="s">
        <v>101</v>
      </c>
      <c r="C17" s="41" t="s">
        <v>102</v>
      </c>
      <c r="D17" s="42"/>
      <c r="E17" s="14"/>
      <c r="F17" s="41" t="s">
        <v>103</v>
      </c>
      <c r="G17" s="30">
        <v>44228</v>
      </c>
      <c r="H17" s="40">
        <v>6</v>
      </c>
      <c r="J17" s="15">
        <v>30</v>
      </c>
      <c r="K17" s="38">
        <v>2122</v>
      </c>
      <c r="L17" s="62"/>
      <c r="M17" s="43">
        <v>0</v>
      </c>
      <c r="N17" s="62">
        <f t="shared" si="0"/>
        <v>2122</v>
      </c>
      <c r="O17" s="62">
        <f t="shared" si="1"/>
        <v>212.20000000000002</v>
      </c>
      <c r="P17" s="62">
        <f t="shared" si="2"/>
        <v>36.286200000000001</v>
      </c>
      <c r="Q17" s="62">
        <f t="shared" si="3"/>
        <v>10.61</v>
      </c>
      <c r="R17" s="62">
        <f t="shared" si="4"/>
        <v>10.61</v>
      </c>
      <c r="S17" s="43">
        <v>0</v>
      </c>
      <c r="T17" s="43">
        <f t="shared" si="5"/>
        <v>269.70620000000002</v>
      </c>
      <c r="U17" s="43">
        <f t="shared" si="6"/>
        <v>1852.2937999999999</v>
      </c>
      <c r="V17" s="44"/>
      <c r="X17" s="45"/>
    </row>
    <row r="18" spans="1:24" ht="22.5" customHeight="1">
      <c r="A18" s="57">
        <v>8</v>
      </c>
      <c r="B18" s="41" t="s">
        <v>105</v>
      </c>
      <c r="C18" s="41" t="s">
        <v>104</v>
      </c>
      <c r="D18" s="42"/>
      <c r="E18" s="14"/>
      <c r="F18" s="41" t="s">
        <v>32</v>
      </c>
      <c r="G18" s="30">
        <v>44228</v>
      </c>
      <c r="H18" s="40">
        <v>5</v>
      </c>
      <c r="J18" s="15">
        <v>30</v>
      </c>
      <c r="K18" s="38">
        <v>2122</v>
      </c>
      <c r="L18" s="62"/>
      <c r="M18" s="43">
        <v>0</v>
      </c>
      <c r="N18" s="62">
        <f t="shared" si="0"/>
        <v>2122</v>
      </c>
      <c r="O18" s="62">
        <f t="shared" si="1"/>
        <v>212.20000000000002</v>
      </c>
      <c r="P18" s="62">
        <f t="shared" si="2"/>
        <v>36.286200000000001</v>
      </c>
      <c r="Q18" s="62">
        <f t="shared" si="3"/>
        <v>10.61</v>
      </c>
      <c r="R18" s="62">
        <f t="shared" si="4"/>
        <v>10.61</v>
      </c>
      <c r="S18" s="43">
        <v>0</v>
      </c>
      <c r="T18" s="43">
        <f t="shared" si="5"/>
        <v>269.70620000000002</v>
      </c>
      <c r="U18" s="43">
        <f t="shared" si="6"/>
        <v>1852.2937999999999</v>
      </c>
      <c r="V18" s="44"/>
      <c r="X18" s="45"/>
    </row>
    <row r="19" spans="1:24" ht="22.5" customHeight="1">
      <c r="A19" s="57">
        <v>9</v>
      </c>
      <c r="B19" s="41" t="s">
        <v>69</v>
      </c>
      <c r="C19" s="41" t="s">
        <v>70</v>
      </c>
      <c r="D19" s="42"/>
      <c r="E19" s="14"/>
      <c r="F19" s="41" t="s">
        <v>71</v>
      </c>
      <c r="G19" s="30">
        <v>44212</v>
      </c>
      <c r="H19" s="63">
        <v>6</v>
      </c>
      <c r="I19" s="64"/>
      <c r="J19" s="14">
        <v>30</v>
      </c>
      <c r="K19" s="62">
        <v>2122</v>
      </c>
      <c r="L19" s="62"/>
      <c r="M19" s="43">
        <v>0</v>
      </c>
      <c r="N19" s="62">
        <f t="shared" si="0"/>
        <v>2122</v>
      </c>
      <c r="O19" s="62">
        <f t="shared" si="1"/>
        <v>212.20000000000002</v>
      </c>
      <c r="P19" s="62">
        <f t="shared" si="2"/>
        <v>36.286200000000001</v>
      </c>
      <c r="Q19" s="62">
        <f t="shared" si="3"/>
        <v>10.61</v>
      </c>
      <c r="R19" s="62">
        <f t="shared" si="4"/>
        <v>10.61</v>
      </c>
      <c r="S19" s="43">
        <v>0</v>
      </c>
      <c r="T19" s="43">
        <f t="shared" si="5"/>
        <v>269.70620000000002</v>
      </c>
      <c r="U19" s="43">
        <f t="shared" si="6"/>
        <v>1852.2937999999999</v>
      </c>
      <c r="V19" s="44"/>
      <c r="X19" s="45"/>
    </row>
    <row r="20" spans="1:24" ht="22.5" customHeight="1">
      <c r="A20" s="57">
        <v>10</v>
      </c>
      <c r="B20" s="21" t="s">
        <v>85</v>
      </c>
      <c r="C20" s="21" t="s">
        <v>86</v>
      </c>
      <c r="D20" s="20"/>
      <c r="E20" s="22" t="s">
        <v>40</v>
      </c>
      <c r="F20" s="30" t="s">
        <v>40</v>
      </c>
      <c r="G20" s="30">
        <v>44197</v>
      </c>
      <c r="H20" s="14">
        <v>5</v>
      </c>
      <c r="I20" s="43">
        <v>2122</v>
      </c>
      <c r="J20" s="14">
        <v>30</v>
      </c>
      <c r="K20" s="62">
        <v>2122</v>
      </c>
      <c r="L20" s="62"/>
      <c r="M20" s="43">
        <v>0</v>
      </c>
      <c r="N20" s="62">
        <f t="shared" si="0"/>
        <v>2122</v>
      </c>
      <c r="O20" s="62">
        <f t="shared" si="1"/>
        <v>212.20000000000002</v>
      </c>
      <c r="P20" s="62">
        <f t="shared" si="2"/>
        <v>36.286200000000001</v>
      </c>
      <c r="Q20" s="62">
        <f t="shared" si="3"/>
        <v>10.61</v>
      </c>
      <c r="R20" s="62">
        <f t="shared" si="4"/>
        <v>10.61</v>
      </c>
      <c r="S20" s="43">
        <v>0</v>
      </c>
      <c r="T20" s="43">
        <f t="shared" si="5"/>
        <v>269.70620000000002</v>
      </c>
      <c r="U20" s="43">
        <f t="shared" si="6"/>
        <v>1852.2937999999999</v>
      </c>
      <c r="V20" s="44"/>
      <c r="X20" s="45"/>
    </row>
    <row r="21" spans="1:24" ht="22.5" customHeight="1">
      <c r="A21" s="57">
        <v>11</v>
      </c>
      <c r="B21" s="41" t="s">
        <v>45</v>
      </c>
      <c r="C21" s="41" t="s">
        <v>46</v>
      </c>
      <c r="D21" s="42"/>
      <c r="E21" s="14"/>
      <c r="F21" s="41" t="s">
        <v>47</v>
      </c>
      <c r="G21" s="30">
        <v>43101</v>
      </c>
      <c r="H21" s="63">
        <v>6</v>
      </c>
      <c r="I21" s="64"/>
      <c r="J21" s="14">
        <v>30</v>
      </c>
      <c r="K21" s="62">
        <v>2142.4</v>
      </c>
      <c r="L21" s="62"/>
      <c r="M21" s="43">
        <v>318.3</v>
      </c>
      <c r="N21" s="62">
        <f t="shared" si="0"/>
        <v>2460.7000000000003</v>
      </c>
      <c r="O21" s="62">
        <f t="shared" si="1"/>
        <v>246.07000000000005</v>
      </c>
      <c r="P21" s="62">
        <f t="shared" si="2"/>
        <v>42.077970000000008</v>
      </c>
      <c r="Q21" s="62">
        <f t="shared" si="3"/>
        <v>12.303500000000001</v>
      </c>
      <c r="R21" s="62">
        <f t="shared" si="4"/>
        <v>12.303500000000001</v>
      </c>
      <c r="S21" s="43">
        <v>0</v>
      </c>
      <c r="T21" s="43">
        <f t="shared" si="5"/>
        <v>312.75497000000001</v>
      </c>
      <c r="U21" s="43">
        <f t="shared" si="6"/>
        <v>2147.9450300000003</v>
      </c>
      <c r="V21" s="44"/>
      <c r="X21" s="45"/>
    </row>
    <row r="22" spans="1:24" ht="22.5" customHeight="1">
      <c r="A22" s="57">
        <v>12</v>
      </c>
      <c r="B22" s="41" t="s">
        <v>31</v>
      </c>
      <c r="C22" s="41" t="s">
        <v>62</v>
      </c>
      <c r="D22" s="42"/>
      <c r="E22" s="14"/>
      <c r="F22" s="41" t="s">
        <v>32</v>
      </c>
      <c r="G22" s="30">
        <v>44228</v>
      </c>
      <c r="H22" s="40">
        <v>5</v>
      </c>
      <c r="J22" s="15">
        <v>30</v>
      </c>
      <c r="K22" s="38">
        <v>2348</v>
      </c>
      <c r="L22" s="62"/>
      <c r="M22" s="43">
        <v>0</v>
      </c>
      <c r="N22" s="62">
        <f t="shared" si="0"/>
        <v>2348</v>
      </c>
      <c r="O22" s="62">
        <f t="shared" si="1"/>
        <v>234.8</v>
      </c>
      <c r="P22" s="62">
        <f t="shared" si="2"/>
        <v>40.150800000000004</v>
      </c>
      <c r="Q22" s="62">
        <f t="shared" si="3"/>
        <v>11.74</v>
      </c>
      <c r="R22" s="62">
        <f t="shared" si="4"/>
        <v>11.74</v>
      </c>
      <c r="S22" s="43">
        <v>0</v>
      </c>
      <c r="T22" s="43">
        <f t="shared" si="5"/>
        <v>298.43080000000003</v>
      </c>
      <c r="U22" s="43">
        <f t="shared" si="6"/>
        <v>2049.5691999999999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63</v>
      </c>
      <c r="D23" s="42"/>
      <c r="E23" s="14"/>
      <c r="F23" s="41" t="s">
        <v>40</v>
      </c>
      <c r="G23" s="30">
        <v>44256</v>
      </c>
      <c r="H23" s="40">
        <v>6</v>
      </c>
      <c r="J23" s="15">
        <v>30</v>
      </c>
      <c r="K23" s="38">
        <v>2291.21</v>
      </c>
      <c r="L23" s="62"/>
      <c r="M23" s="43">
        <v>0</v>
      </c>
      <c r="N23" s="62">
        <f t="shared" si="0"/>
        <v>2291.21</v>
      </c>
      <c r="O23" s="62">
        <f t="shared" si="1"/>
        <v>229.12100000000001</v>
      </c>
      <c r="P23" s="62">
        <f t="shared" si="2"/>
        <v>39.179691000000005</v>
      </c>
      <c r="Q23" s="62">
        <f t="shared" si="3"/>
        <v>11.456050000000001</v>
      </c>
      <c r="R23" s="62">
        <f t="shared" si="4"/>
        <v>11.456050000000001</v>
      </c>
      <c r="S23" s="43">
        <v>0</v>
      </c>
      <c r="T23" s="43">
        <f t="shared" si="5"/>
        <v>291.21279100000004</v>
      </c>
      <c r="U23" s="43">
        <f t="shared" si="6"/>
        <v>1999.9972090000001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97</v>
      </c>
      <c r="D24" s="20"/>
      <c r="E24" s="22" t="s">
        <v>40</v>
      </c>
      <c r="F24" s="41" t="s">
        <v>40</v>
      </c>
      <c r="G24" s="30">
        <v>44197</v>
      </c>
      <c r="H24" s="63">
        <v>5</v>
      </c>
      <c r="I24" s="64"/>
      <c r="J24" s="14">
        <v>30</v>
      </c>
      <c r="K24" s="62">
        <v>2122</v>
      </c>
      <c r="L24" s="62"/>
      <c r="M24" s="43">
        <v>0</v>
      </c>
      <c r="N24" s="62">
        <f t="shared" si="0"/>
        <v>2122</v>
      </c>
      <c r="O24" s="62">
        <f t="shared" si="1"/>
        <v>212.20000000000002</v>
      </c>
      <c r="P24" s="62">
        <f t="shared" si="2"/>
        <v>36.286200000000001</v>
      </c>
      <c r="Q24" s="62">
        <f t="shared" si="3"/>
        <v>10.61</v>
      </c>
      <c r="R24" s="62">
        <f t="shared" si="4"/>
        <v>10.61</v>
      </c>
      <c r="S24" s="43">
        <v>0</v>
      </c>
      <c r="T24" s="43">
        <f t="shared" si="5"/>
        <v>269.70620000000002</v>
      </c>
      <c r="U24" s="43">
        <f t="shared" si="6"/>
        <v>1852.2937999999999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44228</v>
      </c>
      <c r="H25" s="40">
        <v>4</v>
      </c>
      <c r="J25" s="15">
        <v>30</v>
      </c>
      <c r="K25" s="38">
        <v>2122</v>
      </c>
      <c r="L25" s="62"/>
      <c r="M25" s="43">
        <v>0</v>
      </c>
      <c r="N25" s="62">
        <f t="shared" si="0"/>
        <v>2122</v>
      </c>
      <c r="O25" s="62">
        <f t="shared" si="1"/>
        <v>212.20000000000002</v>
      </c>
      <c r="P25" s="62">
        <f t="shared" si="2"/>
        <v>36.286200000000001</v>
      </c>
      <c r="Q25" s="62">
        <f t="shared" si="3"/>
        <v>10.61</v>
      </c>
      <c r="R25" s="62">
        <f t="shared" si="4"/>
        <v>10.61</v>
      </c>
      <c r="S25" s="43">
        <v>0</v>
      </c>
      <c r="T25" s="43">
        <f t="shared" si="5"/>
        <v>269.70620000000002</v>
      </c>
      <c r="U25" s="43">
        <f t="shared" si="6"/>
        <v>1852.2937999999999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44228</v>
      </c>
      <c r="H26" s="40">
        <v>4</v>
      </c>
      <c r="J26" s="15">
        <v>30</v>
      </c>
      <c r="K26" s="38">
        <v>2272.42</v>
      </c>
      <c r="L26" s="62"/>
      <c r="M26" s="43">
        <v>0</v>
      </c>
      <c r="N26" s="62">
        <f t="shared" si="0"/>
        <v>2272.42</v>
      </c>
      <c r="O26" s="62">
        <f t="shared" si="1"/>
        <v>227.24200000000002</v>
      </c>
      <c r="P26" s="62">
        <f t="shared" si="2"/>
        <v>38.858382000000006</v>
      </c>
      <c r="Q26" s="62">
        <f t="shared" si="3"/>
        <v>11.3621</v>
      </c>
      <c r="R26" s="62">
        <f t="shared" si="4"/>
        <v>11.3621</v>
      </c>
      <c r="S26" s="43">
        <v>0</v>
      </c>
      <c r="T26" s="43">
        <f t="shared" si="5"/>
        <v>288.82458200000002</v>
      </c>
      <c r="U26" s="43">
        <f t="shared" si="6"/>
        <v>1983.5954180000001</v>
      </c>
      <c r="V26" s="44"/>
      <c r="X26" s="45"/>
    </row>
    <row r="27" spans="1:24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44228</v>
      </c>
      <c r="H27" s="40">
        <v>6</v>
      </c>
      <c r="J27" s="15">
        <v>30</v>
      </c>
      <c r="K27" s="38">
        <v>2122</v>
      </c>
      <c r="L27" s="62"/>
      <c r="M27" s="43">
        <v>0</v>
      </c>
      <c r="N27" s="62">
        <f t="shared" si="0"/>
        <v>2122</v>
      </c>
      <c r="O27" s="62">
        <f t="shared" si="1"/>
        <v>212.20000000000002</v>
      </c>
      <c r="P27" s="62">
        <f t="shared" si="2"/>
        <v>36.286200000000001</v>
      </c>
      <c r="Q27" s="62">
        <f t="shared" si="3"/>
        <v>10.61</v>
      </c>
      <c r="R27" s="62">
        <f t="shared" si="4"/>
        <v>10.61</v>
      </c>
      <c r="S27" s="43">
        <v>0</v>
      </c>
      <c r="T27" s="43">
        <f t="shared" si="5"/>
        <v>269.70620000000002</v>
      </c>
      <c r="U27" s="43">
        <f t="shared" si="6"/>
        <v>1852.2937999999999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30">
        <v>44228</v>
      </c>
      <c r="H28" s="40">
        <v>5</v>
      </c>
      <c r="J28" s="15">
        <v>30</v>
      </c>
      <c r="K28" s="38">
        <v>2122</v>
      </c>
      <c r="L28" s="62"/>
      <c r="M28" s="43">
        <v>0</v>
      </c>
      <c r="N28" s="62">
        <f t="shared" si="0"/>
        <v>2122</v>
      </c>
      <c r="O28" s="62">
        <f t="shared" si="1"/>
        <v>212.20000000000002</v>
      </c>
      <c r="P28" s="62">
        <f t="shared" si="2"/>
        <v>36.286200000000001</v>
      </c>
      <c r="Q28" s="62">
        <f t="shared" si="3"/>
        <v>10.61</v>
      </c>
      <c r="R28" s="62">
        <f t="shared" si="4"/>
        <v>10.61</v>
      </c>
      <c r="S28" s="43">
        <v>0</v>
      </c>
      <c r="T28" s="43">
        <f t="shared" si="5"/>
        <v>269.70620000000002</v>
      </c>
      <c r="U28" s="43">
        <f t="shared" si="6"/>
        <v>1852.2937999999999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44228</v>
      </c>
      <c r="H29" s="74">
        <v>5</v>
      </c>
      <c r="J29" s="75">
        <v>30</v>
      </c>
      <c r="K29" s="38">
        <v>2122</v>
      </c>
      <c r="L29" s="62"/>
      <c r="M29" s="43">
        <v>0</v>
      </c>
      <c r="N29" s="62">
        <f t="shared" si="0"/>
        <v>2122</v>
      </c>
      <c r="O29" s="62">
        <f t="shared" si="1"/>
        <v>212.20000000000002</v>
      </c>
      <c r="P29" s="62">
        <f t="shared" si="2"/>
        <v>36.286200000000001</v>
      </c>
      <c r="Q29" s="62">
        <f t="shared" si="3"/>
        <v>10.61</v>
      </c>
      <c r="R29" s="62">
        <f t="shared" si="4"/>
        <v>10.61</v>
      </c>
      <c r="S29" s="43">
        <v>0</v>
      </c>
      <c r="T29" s="43">
        <f t="shared" si="5"/>
        <v>269.70620000000002</v>
      </c>
      <c r="U29" s="43">
        <f t="shared" si="6"/>
        <v>1852.2937999999999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84</v>
      </c>
      <c r="D30" s="42"/>
      <c r="E30" s="14"/>
      <c r="F30" s="41" t="s">
        <v>36</v>
      </c>
      <c r="G30" s="30">
        <v>44256</v>
      </c>
      <c r="H30" s="40">
        <v>5</v>
      </c>
      <c r="I30" s="76"/>
      <c r="J30" s="75">
        <v>30</v>
      </c>
      <c r="K30" s="68">
        <v>2122</v>
      </c>
      <c r="L30" s="69"/>
      <c r="M30" s="43">
        <v>0</v>
      </c>
      <c r="N30" s="62">
        <f t="shared" si="0"/>
        <v>2122</v>
      </c>
      <c r="O30" s="62">
        <f t="shared" si="1"/>
        <v>212.20000000000002</v>
      </c>
      <c r="P30" s="62">
        <f t="shared" si="2"/>
        <v>36.286200000000001</v>
      </c>
      <c r="Q30" s="62">
        <f t="shared" si="3"/>
        <v>10.61</v>
      </c>
      <c r="R30" s="62">
        <f t="shared" si="4"/>
        <v>10.61</v>
      </c>
      <c r="S30" s="43">
        <v>0</v>
      </c>
      <c r="T30" s="43">
        <f t="shared" si="5"/>
        <v>269.70620000000002</v>
      </c>
      <c r="U30" s="43">
        <f t="shared" si="6"/>
        <v>1852.2937999999999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44256</v>
      </c>
      <c r="H31" s="40">
        <v>5</v>
      </c>
      <c r="I31" s="76"/>
      <c r="J31" s="75">
        <v>30</v>
      </c>
      <c r="K31" s="68">
        <v>2122</v>
      </c>
      <c r="L31" s="69"/>
      <c r="M31" s="43">
        <v>0</v>
      </c>
      <c r="N31" s="62">
        <f t="shared" si="0"/>
        <v>2122</v>
      </c>
      <c r="O31" s="62">
        <f t="shared" si="1"/>
        <v>212.20000000000002</v>
      </c>
      <c r="P31" s="62">
        <f t="shared" si="2"/>
        <v>36.286200000000001</v>
      </c>
      <c r="Q31" s="62">
        <f t="shared" si="3"/>
        <v>10.61</v>
      </c>
      <c r="R31" s="62">
        <f t="shared" si="4"/>
        <v>10.61</v>
      </c>
      <c r="S31" s="43">
        <v>0</v>
      </c>
      <c r="T31" s="43">
        <f t="shared" si="5"/>
        <v>269.70620000000002</v>
      </c>
      <c r="U31" s="43">
        <f t="shared" si="6"/>
        <v>1852.2937999999999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47906.27</v>
      </c>
      <c r="L32" s="32"/>
      <c r="M32" s="32">
        <f t="shared" ref="M32" si="7">SUM(M14:M29)</f>
        <v>318.3</v>
      </c>
      <c r="N32" s="32">
        <f>SUM(N11:N31)</f>
        <v>48224.569999999992</v>
      </c>
      <c r="O32" s="32">
        <f>SUM(O11:O31)</f>
        <v>4822.4569999999994</v>
      </c>
      <c r="P32" s="32">
        <f>SUM(P11:P31)</f>
        <v>824.64014700000007</v>
      </c>
      <c r="Q32" s="32">
        <f>SUM(Q11:Q31)</f>
        <v>241.12285000000008</v>
      </c>
      <c r="R32" s="32">
        <f>SUM(R11:R31)</f>
        <v>241.12285000000008</v>
      </c>
      <c r="S32" s="32">
        <f>SUM(S14:S31)</f>
        <v>0</v>
      </c>
      <c r="T32" s="32">
        <f>SUM(T11:T31)</f>
        <v>6129.3428469999981</v>
      </c>
      <c r="U32" s="32">
        <f>SUM(U11:U31)</f>
        <v>42095.227152999993</v>
      </c>
      <c r="V32" s="19"/>
    </row>
    <row r="33" spans="1:22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6129.3428469999981</v>
      </c>
      <c r="U33" s="23"/>
    </row>
    <row r="34" spans="1:22">
      <c r="N34" s="46"/>
    </row>
    <row r="35" spans="1:22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s="18" customFormat="1">
      <c r="A36"/>
      <c r="B36"/>
      <c r="C36"/>
      <c r="D36"/>
      <c r="E36" s="9"/>
      <c r="F36"/>
      <c r="G36"/>
      <c r="H36"/>
      <c r="I36"/>
      <c r="J36"/>
      <c r="K36" t="s">
        <v>112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  <mergeCell ref="U8:U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Hoja9"/>
  <dimension ref="A1:AB36"/>
  <sheetViews>
    <sheetView workbookViewId="0">
      <selection activeCell="C24" sqref="C24"/>
    </sheetView>
  </sheetViews>
  <sheetFormatPr baseColWidth="10" defaultRowHeight="15"/>
  <cols>
    <col min="1" max="1" width="2.7109375" customWidth="1"/>
    <col min="2" max="2" width="10.85546875" customWidth="1"/>
    <col min="3" max="3" width="28.42578125" customWidth="1"/>
    <col min="4" max="4" width="11.42578125" hidden="1" customWidth="1"/>
    <col min="5" max="5" width="0.140625" style="9" hidden="1" customWidth="1"/>
    <col min="6" max="6" width="12.28515625" customWidth="1"/>
    <col min="7" max="7" width="9.28515625" customWidth="1"/>
    <col min="8" max="8" width="6.140625" customWidth="1"/>
    <col min="9" max="9" width="0.140625" hidden="1" customWidth="1"/>
    <col min="10" max="10" width="5" customWidth="1"/>
    <col min="11" max="11" width="8.5703125" customWidth="1"/>
    <col min="12" max="12" width="5.7109375" customWidth="1"/>
    <col min="13" max="13" width="7.7109375" customWidth="1"/>
    <col min="14" max="14" width="6.7109375" customWidth="1"/>
    <col min="15" max="15" width="5.85546875" customWidth="1"/>
    <col min="16" max="16" width="7" customWidth="1"/>
    <col min="17" max="17" width="11" customWidth="1"/>
    <col min="18" max="18" width="7.7109375" customWidth="1"/>
    <col min="19" max="19" width="7.85546875" customWidth="1"/>
    <col min="20" max="22" width="6.7109375" customWidth="1"/>
    <col min="23" max="23" width="6.140625" customWidth="1"/>
    <col min="24" max="24" width="7.140625" customWidth="1"/>
    <col min="25" max="25" width="8.140625" customWidth="1"/>
    <col min="26" max="26" width="17.28515625" customWidth="1"/>
    <col min="27" max="28" width="11.42578125" style="18" customWidth="1"/>
  </cols>
  <sheetData>
    <row r="1" spans="1:28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3"/>
      <c r="N1" s="3"/>
      <c r="O1" s="3"/>
      <c r="P1" s="1"/>
      <c r="Q1" s="1"/>
      <c r="R1" s="1"/>
      <c r="S1" s="1"/>
      <c r="T1" s="1"/>
      <c r="U1" s="1"/>
      <c r="V1" s="1"/>
      <c r="W1" s="1"/>
      <c r="X1" s="51"/>
      <c r="Y1" s="1"/>
      <c r="Z1" s="51" t="s">
        <v>33</v>
      </c>
      <c r="AA1" s="51"/>
    </row>
    <row r="2" spans="1:28">
      <c r="A2" s="2" t="s">
        <v>0</v>
      </c>
      <c r="B2" s="1"/>
      <c r="C2" s="1"/>
      <c r="D2" s="1"/>
      <c r="E2" s="4"/>
      <c r="F2" s="81"/>
      <c r="G2" s="1"/>
      <c r="H2" s="1"/>
      <c r="I2" s="1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51"/>
      <c r="Y2" s="51"/>
      <c r="Z2" s="51"/>
      <c r="AA2" s="17"/>
    </row>
    <row r="3" spans="1:28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2"/>
      <c r="Y3" s="1"/>
      <c r="Z3" s="1"/>
      <c r="AA3" s="17"/>
    </row>
    <row r="4" spans="1:28" s="26" customFormat="1" ht="12" customHeight="1">
      <c r="A4" s="237" t="s">
        <v>113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7"/>
      <c r="AB4" s="27"/>
    </row>
    <row r="5" spans="1:28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7"/>
      <c r="AB5" s="27"/>
    </row>
    <row r="6" spans="1:28" s="26" customFormat="1" ht="10.5" customHeight="1">
      <c r="A6" s="237"/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7"/>
      <c r="AB6" s="27"/>
    </row>
    <row r="7" spans="1:28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6"/>
      <c r="Q7" s="6"/>
      <c r="R7" s="6"/>
      <c r="S7" s="4"/>
      <c r="T7" s="4"/>
      <c r="U7" s="4"/>
      <c r="V7" s="4"/>
      <c r="W7" s="4"/>
      <c r="X7" s="4"/>
      <c r="AA7" s="7">
        <v>42399</v>
      </c>
      <c r="AB7" s="8">
        <v>1656</v>
      </c>
    </row>
    <row r="8" spans="1:28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47"/>
      <c r="N8" s="47"/>
      <c r="O8" s="47"/>
      <c r="P8" s="234" t="s">
        <v>11</v>
      </c>
      <c r="Q8" s="77" t="s">
        <v>118</v>
      </c>
      <c r="R8" s="234" t="s">
        <v>126</v>
      </c>
      <c r="S8" s="231" t="s">
        <v>13</v>
      </c>
      <c r="T8" s="232"/>
      <c r="U8" s="232"/>
      <c r="V8" s="232"/>
      <c r="W8" s="233"/>
      <c r="X8" s="234" t="s">
        <v>75</v>
      </c>
      <c r="Y8" s="234" t="s">
        <v>27</v>
      </c>
      <c r="Z8" s="234" t="s">
        <v>14</v>
      </c>
    </row>
    <row r="9" spans="1:28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114</v>
      </c>
      <c r="M9" s="48" t="s">
        <v>115</v>
      </c>
      <c r="N9" s="48" t="s">
        <v>116</v>
      </c>
      <c r="O9" s="48" t="s">
        <v>117</v>
      </c>
      <c r="P9" s="235"/>
      <c r="Q9" s="78" t="s">
        <v>11</v>
      </c>
      <c r="R9" s="235"/>
      <c r="S9" s="25" t="s">
        <v>26</v>
      </c>
      <c r="T9" s="24" t="s">
        <v>25</v>
      </c>
      <c r="U9" s="24" t="s">
        <v>23</v>
      </c>
      <c r="V9" s="24" t="s">
        <v>24</v>
      </c>
      <c r="W9" s="25" t="s">
        <v>16</v>
      </c>
      <c r="X9" s="235"/>
      <c r="Y9" s="235"/>
      <c r="Z9" s="235"/>
    </row>
    <row r="10" spans="1:28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80">
        <v>2021</v>
      </c>
      <c r="M10" s="80">
        <v>2021</v>
      </c>
      <c r="N10" s="80">
        <v>2021</v>
      </c>
      <c r="O10" s="80">
        <v>2021</v>
      </c>
      <c r="P10" s="236"/>
      <c r="Q10" s="79" t="s">
        <v>119</v>
      </c>
      <c r="R10" s="236"/>
      <c r="S10" s="11">
        <v>0.1</v>
      </c>
      <c r="T10" s="10">
        <v>1.7100000000000001E-2</v>
      </c>
      <c r="U10" s="12">
        <v>5.0000000000000001E-3</v>
      </c>
      <c r="V10" s="13">
        <v>5.0000000000000001E-3</v>
      </c>
      <c r="W10" s="11">
        <v>0.13</v>
      </c>
      <c r="X10" s="236"/>
      <c r="Y10" s="236"/>
      <c r="Z10" s="236"/>
    </row>
    <row r="11" spans="1:28" ht="22.5" customHeight="1">
      <c r="A11" s="57">
        <v>1</v>
      </c>
      <c r="B11" s="56" t="s">
        <v>99</v>
      </c>
      <c r="C11" s="66" t="s">
        <v>121</v>
      </c>
      <c r="D11" s="55"/>
      <c r="E11" s="55"/>
      <c r="F11" s="82" t="s">
        <v>100</v>
      </c>
      <c r="G11" s="84">
        <v>44228</v>
      </c>
      <c r="H11" s="97">
        <v>6</v>
      </c>
      <c r="I11" s="98"/>
      <c r="J11" s="99">
        <v>30</v>
      </c>
      <c r="K11" s="61">
        <v>2122</v>
      </c>
      <c r="L11" s="88"/>
      <c r="M11" s="88">
        <v>42</v>
      </c>
      <c r="N11" s="88">
        <v>42</v>
      </c>
      <c r="O11" s="88">
        <v>42</v>
      </c>
      <c r="P11" s="96">
        <v>0</v>
      </c>
      <c r="Q11" s="43"/>
      <c r="R11" s="62">
        <f>L11+M11+N11+O11+Q11</f>
        <v>126</v>
      </c>
      <c r="S11" s="62">
        <f t="shared" ref="S11:S31" si="0">+R11*0.1</f>
        <v>12.600000000000001</v>
      </c>
      <c r="T11" s="62">
        <f t="shared" ref="T11:T31" si="1">+R11*0.0171</f>
        <v>2.1546000000000003</v>
      </c>
      <c r="U11" s="62">
        <f t="shared" ref="U11:U31" si="2">+R11*0.005</f>
        <v>0.63</v>
      </c>
      <c r="V11" s="62">
        <f t="shared" ref="V11:V31" si="3">R11*0.5%</f>
        <v>0.63</v>
      </c>
      <c r="W11" s="43">
        <v>0</v>
      </c>
      <c r="X11" s="43">
        <f t="shared" ref="X11:X31" si="4">+S11+T11+U11+V11+W11</f>
        <v>16.014600000000002</v>
      </c>
      <c r="Y11" s="43">
        <f t="shared" ref="Y11:Y31" si="5">+R11-X11</f>
        <v>109.9854</v>
      </c>
      <c r="Z11" s="55"/>
    </row>
    <row r="12" spans="1:28" ht="22.5" customHeight="1">
      <c r="A12" s="57">
        <v>2</v>
      </c>
      <c r="B12" s="41" t="s">
        <v>29</v>
      </c>
      <c r="C12" s="41" t="s">
        <v>60</v>
      </c>
      <c r="D12" s="42"/>
      <c r="E12" s="14"/>
      <c r="F12" s="87" t="s">
        <v>30</v>
      </c>
      <c r="G12" s="84">
        <v>44228</v>
      </c>
      <c r="H12" s="97">
        <v>6</v>
      </c>
      <c r="I12" s="98"/>
      <c r="J12" s="99">
        <v>30</v>
      </c>
      <c r="K12" s="61">
        <v>2970.49</v>
      </c>
      <c r="L12" s="88"/>
      <c r="M12" s="88"/>
      <c r="N12" s="88"/>
      <c r="O12" s="83"/>
      <c r="P12" s="96">
        <v>0</v>
      </c>
      <c r="Q12" s="43"/>
      <c r="R12" s="62">
        <f t="shared" ref="R12:R31" si="6">L12+M12+N12+O12+Q12</f>
        <v>0</v>
      </c>
      <c r="S12" s="62">
        <f t="shared" si="0"/>
        <v>0</v>
      </c>
      <c r="T12" s="62">
        <f t="shared" si="1"/>
        <v>0</v>
      </c>
      <c r="U12" s="62">
        <f t="shared" si="2"/>
        <v>0</v>
      </c>
      <c r="V12" s="62">
        <f t="shared" si="3"/>
        <v>0</v>
      </c>
      <c r="W12" s="43">
        <v>0</v>
      </c>
      <c r="X12" s="43">
        <f t="shared" si="4"/>
        <v>0</v>
      </c>
      <c r="Y12" s="43">
        <f t="shared" si="5"/>
        <v>0</v>
      </c>
      <c r="Z12" s="55"/>
    </row>
    <row r="13" spans="1:28" ht="22.5" customHeight="1">
      <c r="A13" s="57">
        <v>3</v>
      </c>
      <c r="B13" s="41" t="s">
        <v>67</v>
      </c>
      <c r="C13" s="41" t="s">
        <v>68</v>
      </c>
      <c r="D13" s="42"/>
      <c r="E13" s="14"/>
      <c r="F13" s="83" t="s">
        <v>32</v>
      </c>
      <c r="G13" s="84">
        <v>44228</v>
      </c>
      <c r="H13" s="100">
        <v>5</v>
      </c>
      <c r="I13" s="101"/>
      <c r="J13" s="97">
        <v>30</v>
      </c>
      <c r="K13" s="62">
        <v>2122</v>
      </c>
      <c r="L13" s="89"/>
      <c r="M13" s="89">
        <v>42</v>
      </c>
      <c r="N13" s="89">
        <v>42</v>
      </c>
      <c r="O13" s="90">
        <v>42</v>
      </c>
      <c r="P13" s="96">
        <v>0</v>
      </c>
      <c r="Q13" s="43"/>
      <c r="R13" s="62">
        <f t="shared" si="6"/>
        <v>126</v>
      </c>
      <c r="S13" s="62">
        <f t="shared" si="0"/>
        <v>12.600000000000001</v>
      </c>
      <c r="T13" s="62">
        <f t="shared" si="1"/>
        <v>2.1546000000000003</v>
      </c>
      <c r="U13" s="62">
        <f t="shared" si="2"/>
        <v>0.63</v>
      </c>
      <c r="V13" s="62">
        <f t="shared" si="3"/>
        <v>0.63</v>
      </c>
      <c r="W13" s="43">
        <v>0</v>
      </c>
      <c r="X13" s="43">
        <f t="shared" si="4"/>
        <v>16.014600000000002</v>
      </c>
      <c r="Y13" s="43">
        <f t="shared" si="5"/>
        <v>109.9854</v>
      </c>
      <c r="Z13" s="55"/>
    </row>
    <row r="14" spans="1:28" ht="22.5" customHeight="1">
      <c r="A14" s="57">
        <v>4</v>
      </c>
      <c r="B14" s="41" t="s">
        <v>44</v>
      </c>
      <c r="C14" s="41" t="s">
        <v>61</v>
      </c>
      <c r="D14" s="42"/>
      <c r="E14" s="14"/>
      <c r="F14" s="83" t="s">
        <v>49</v>
      </c>
      <c r="G14" s="84">
        <v>44212</v>
      </c>
      <c r="H14" s="100">
        <v>6</v>
      </c>
      <c r="I14" s="101"/>
      <c r="J14" s="97">
        <v>30</v>
      </c>
      <c r="K14" s="62">
        <v>3560.54</v>
      </c>
      <c r="L14" s="91"/>
      <c r="M14" s="91"/>
      <c r="N14" s="91"/>
      <c r="O14" s="91"/>
      <c r="P14" s="96">
        <v>0</v>
      </c>
      <c r="Q14" s="43"/>
      <c r="R14" s="62">
        <f t="shared" si="6"/>
        <v>0</v>
      </c>
      <c r="S14" s="62">
        <f t="shared" si="0"/>
        <v>0</v>
      </c>
      <c r="T14" s="62">
        <f t="shared" si="1"/>
        <v>0</v>
      </c>
      <c r="U14" s="62">
        <f t="shared" si="2"/>
        <v>0</v>
      </c>
      <c r="V14" s="62">
        <f t="shared" si="3"/>
        <v>0</v>
      </c>
      <c r="W14" s="43">
        <v>0</v>
      </c>
      <c r="X14" s="43">
        <f t="shared" si="4"/>
        <v>0</v>
      </c>
      <c r="Y14" s="43">
        <f t="shared" si="5"/>
        <v>0</v>
      </c>
      <c r="Z14" s="44"/>
      <c r="AB14" s="45"/>
    </row>
    <row r="15" spans="1:28" ht="22.5" customHeight="1">
      <c r="A15" s="57">
        <v>5</v>
      </c>
      <c r="B15" s="41" t="s">
        <v>79</v>
      </c>
      <c r="C15" s="41" t="s">
        <v>80</v>
      </c>
      <c r="D15" s="42"/>
      <c r="E15" s="14"/>
      <c r="F15" s="87" t="s">
        <v>81</v>
      </c>
      <c r="G15" s="84">
        <v>44228</v>
      </c>
      <c r="H15" s="102">
        <v>6</v>
      </c>
      <c r="I15" s="103"/>
      <c r="J15" s="104">
        <v>30</v>
      </c>
      <c r="K15" s="38">
        <v>2444</v>
      </c>
      <c r="L15" s="92"/>
      <c r="M15" s="92"/>
      <c r="N15" s="92"/>
      <c r="O15" s="91"/>
      <c r="P15" s="96">
        <v>0</v>
      </c>
      <c r="Q15" s="43"/>
      <c r="R15" s="62">
        <f t="shared" si="6"/>
        <v>0</v>
      </c>
      <c r="S15" s="62">
        <f t="shared" si="0"/>
        <v>0</v>
      </c>
      <c r="T15" s="62">
        <f t="shared" si="1"/>
        <v>0</v>
      </c>
      <c r="U15" s="62">
        <f t="shared" si="2"/>
        <v>0</v>
      </c>
      <c r="V15" s="62">
        <f t="shared" si="3"/>
        <v>0</v>
      </c>
      <c r="W15" s="43">
        <v>0</v>
      </c>
      <c r="X15" s="43">
        <f t="shared" si="4"/>
        <v>0</v>
      </c>
      <c r="Y15" s="43">
        <f t="shared" si="5"/>
        <v>0</v>
      </c>
      <c r="Z15" s="44"/>
      <c r="AB15" s="45"/>
    </row>
    <row r="16" spans="1:28" ht="22.5" customHeight="1">
      <c r="A16" s="57">
        <v>6</v>
      </c>
      <c r="B16" s="41" t="s">
        <v>19</v>
      </c>
      <c r="C16" s="41" t="s">
        <v>20</v>
      </c>
      <c r="D16" s="42">
        <v>22218</v>
      </c>
      <c r="E16" s="14" t="s">
        <v>18</v>
      </c>
      <c r="F16" s="83" t="s">
        <v>34</v>
      </c>
      <c r="G16" s="84">
        <v>44256</v>
      </c>
      <c r="H16" s="102">
        <v>6</v>
      </c>
      <c r="I16" s="103"/>
      <c r="J16" s="104">
        <v>30</v>
      </c>
      <c r="K16" s="38">
        <v>2291.21</v>
      </c>
      <c r="L16" s="92"/>
      <c r="M16" s="92"/>
      <c r="N16" s="92"/>
      <c r="O16" s="91"/>
      <c r="P16" s="96">
        <v>0</v>
      </c>
      <c r="Q16" s="43"/>
      <c r="R16" s="62">
        <f t="shared" si="6"/>
        <v>0</v>
      </c>
      <c r="S16" s="62">
        <f t="shared" si="0"/>
        <v>0</v>
      </c>
      <c r="T16" s="62">
        <f t="shared" si="1"/>
        <v>0</v>
      </c>
      <c r="U16" s="62">
        <f t="shared" si="2"/>
        <v>0</v>
      </c>
      <c r="V16" s="62">
        <f t="shared" si="3"/>
        <v>0</v>
      </c>
      <c r="W16" s="43">
        <v>0</v>
      </c>
      <c r="X16" s="43">
        <f t="shared" si="4"/>
        <v>0</v>
      </c>
      <c r="Y16" s="43">
        <f t="shared" si="5"/>
        <v>0</v>
      </c>
      <c r="Z16" s="44"/>
      <c r="AB16" s="45"/>
    </row>
    <row r="17" spans="1:28" ht="22.5" customHeight="1">
      <c r="A17" s="57">
        <v>7</v>
      </c>
      <c r="B17" s="41" t="s">
        <v>101</v>
      </c>
      <c r="C17" s="41" t="s">
        <v>102</v>
      </c>
      <c r="D17" s="42"/>
      <c r="E17" s="14"/>
      <c r="F17" s="83" t="s">
        <v>103</v>
      </c>
      <c r="G17" s="84">
        <v>44228</v>
      </c>
      <c r="H17" s="102">
        <v>6</v>
      </c>
      <c r="I17" s="103"/>
      <c r="J17" s="104">
        <v>30</v>
      </c>
      <c r="K17" s="38">
        <v>2122</v>
      </c>
      <c r="L17" s="92"/>
      <c r="M17" s="92">
        <v>42</v>
      </c>
      <c r="N17" s="92">
        <v>42</v>
      </c>
      <c r="O17" s="91">
        <v>42</v>
      </c>
      <c r="P17" s="96">
        <v>0</v>
      </c>
      <c r="Q17" s="43"/>
      <c r="R17" s="62">
        <f t="shared" si="6"/>
        <v>126</v>
      </c>
      <c r="S17" s="62">
        <f t="shared" si="0"/>
        <v>12.600000000000001</v>
      </c>
      <c r="T17" s="62">
        <f t="shared" si="1"/>
        <v>2.1546000000000003</v>
      </c>
      <c r="U17" s="62">
        <f t="shared" si="2"/>
        <v>0.63</v>
      </c>
      <c r="V17" s="62">
        <f t="shared" si="3"/>
        <v>0.63</v>
      </c>
      <c r="W17" s="43">
        <v>0</v>
      </c>
      <c r="X17" s="43">
        <f t="shared" si="4"/>
        <v>16.014600000000002</v>
      </c>
      <c r="Y17" s="43">
        <f t="shared" si="5"/>
        <v>109.9854</v>
      </c>
      <c r="Z17" s="44"/>
      <c r="AB17" s="45"/>
    </row>
    <row r="18" spans="1:28" ht="22.5" customHeight="1">
      <c r="A18" s="57">
        <v>8</v>
      </c>
      <c r="B18" s="41" t="s">
        <v>105</v>
      </c>
      <c r="C18" s="41" t="s">
        <v>104</v>
      </c>
      <c r="D18" s="42"/>
      <c r="E18" s="14"/>
      <c r="F18" s="83" t="s">
        <v>32</v>
      </c>
      <c r="G18" s="84">
        <v>44228</v>
      </c>
      <c r="H18" s="102">
        <v>5</v>
      </c>
      <c r="I18" s="103"/>
      <c r="J18" s="104">
        <v>30</v>
      </c>
      <c r="K18" s="38">
        <v>2122</v>
      </c>
      <c r="L18" s="92"/>
      <c r="M18" s="92">
        <v>42</v>
      </c>
      <c r="N18" s="92">
        <v>42</v>
      </c>
      <c r="O18" s="91">
        <v>42</v>
      </c>
      <c r="P18" s="96">
        <v>0</v>
      </c>
      <c r="Q18" s="43"/>
      <c r="R18" s="62">
        <f t="shared" si="6"/>
        <v>126</v>
      </c>
      <c r="S18" s="62">
        <f t="shared" si="0"/>
        <v>12.600000000000001</v>
      </c>
      <c r="T18" s="62">
        <f t="shared" si="1"/>
        <v>2.1546000000000003</v>
      </c>
      <c r="U18" s="62">
        <f t="shared" si="2"/>
        <v>0.63</v>
      </c>
      <c r="V18" s="62">
        <f t="shared" si="3"/>
        <v>0.63</v>
      </c>
      <c r="W18" s="43">
        <v>0</v>
      </c>
      <c r="X18" s="43">
        <f t="shared" si="4"/>
        <v>16.014600000000002</v>
      </c>
      <c r="Y18" s="43">
        <f t="shared" si="5"/>
        <v>109.9854</v>
      </c>
      <c r="Z18" s="44"/>
      <c r="AB18" s="45"/>
    </row>
    <row r="19" spans="1:28" ht="22.5" customHeight="1">
      <c r="A19" s="57">
        <v>9</v>
      </c>
      <c r="B19" s="41" t="s">
        <v>69</v>
      </c>
      <c r="C19" s="41" t="s">
        <v>70</v>
      </c>
      <c r="D19" s="42"/>
      <c r="E19" s="14"/>
      <c r="F19" s="83" t="s">
        <v>71</v>
      </c>
      <c r="G19" s="84">
        <v>44212</v>
      </c>
      <c r="H19" s="100">
        <v>6</v>
      </c>
      <c r="I19" s="101"/>
      <c r="J19" s="97">
        <v>30</v>
      </c>
      <c r="K19" s="62">
        <v>2122</v>
      </c>
      <c r="L19" s="91">
        <v>21</v>
      </c>
      <c r="M19" s="91">
        <v>42</v>
      </c>
      <c r="N19" s="91">
        <v>42</v>
      </c>
      <c r="O19" s="91">
        <v>42</v>
      </c>
      <c r="P19" s="96">
        <v>0</v>
      </c>
      <c r="Q19" s="43"/>
      <c r="R19" s="62">
        <f t="shared" si="6"/>
        <v>147</v>
      </c>
      <c r="S19" s="62">
        <f t="shared" si="0"/>
        <v>14.700000000000001</v>
      </c>
      <c r="T19" s="62">
        <f t="shared" si="1"/>
        <v>2.5137</v>
      </c>
      <c r="U19" s="62">
        <f t="shared" si="2"/>
        <v>0.73499999999999999</v>
      </c>
      <c r="V19" s="62">
        <f t="shared" si="3"/>
        <v>0.73499999999999999</v>
      </c>
      <c r="W19" s="43">
        <v>0</v>
      </c>
      <c r="X19" s="43">
        <f t="shared" si="4"/>
        <v>18.683700000000002</v>
      </c>
      <c r="Y19" s="43">
        <f t="shared" si="5"/>
        <v>128.31630000000001</v>
      </c>
      <c r="Z19" s="44"/>
      <c r="AB19" s="45"/>
    </row>
    <row r="20" spans="1:28" ht="22.5" customHeight="1">
      <c r="A20" s="57">
        <v>10</v>
      </c>
      <c r="B20" s="21" t="s">
        <v>85</v>
      </c>
      <c r="C20" s="21" t="s">
        <v>86</v>
      </c>
      <c r="D20" s="20"/>
      <c r="E20" s="22" t="s">
        <v>40</v>
      </c>
      <c r="F20" s="84" t="s">
        <v>40</v>
      </c>
      <c r="G20" s="84">
        <v>44197</v>
      </c>
      <c r="H20" s="97">
        <v>5</v>
      </c>
      <c r="I20" s="96">
        <v>2122</v>
      </c>
      <c r="J20" s="97">
        <v>30</v>
      </c>
      <c r="K20" s="62">
        <v>2122</v>
      </c>
      <c r="L20" s="91">
        <v>42</v>
      </c>
      <c r="M20" s="91">
        <v>42</v>
      </c>
      <c r="N20" s="91">
        <v>42</v>
      </c>
      <c r="O20" s="91">
        <v>42</v>
      </c>
      <c r="P20" s="96">
        <v>0</v>
      </c>
      <c r="Q20" s="43"/>
      <c r="R20" s="62">
        <f t="shared" si="6"/>
        <v>168</v>
      </c>
      <c r="S20" s="62">
        <f t="shared" si="0"/>
        <v>16.8</v>
      </c>
      <c r="T20" s="62">
        <f t="shared" si="1"/>
        <v>2.8728000000000002</v>
      </c>
      <c r="U20" s="62">
        <f t="shared" si="2"/>
        <v>0.84</v>
      </c>
      <c r="V20" s="62">
        <f t="shared" si="3"/>
        <v>0.84</v>
      </c>
      <c r="W20" s="43">
        <v>0</v>
      </c>
      <c r="X20" s="43">
        <f t="shared" si="4"/>
        <v>21.352800000000002</v>
      </c>
      <c r="Y20" s="43">
        <f t="shared" si="5"/>
        <v>146.6472</v>
      </c>
      <c r="Z20" s="44"/>
      <c r="AB20" s="45"/>
    </row>
    <row r="21" spans="1:28" ht="22.5" customHeight="1">
      <c r="A21" s="57">
        <v>11</v>
      </c>
      <c r="B21" s="41" t="s">
        <v>45</v>
      </c>
      <c r="C21" s="41" t="s">
        <v>46</v>
      </c>
      <c r="D21" s="42"/>
      <c r="E21" s="14"/>
      <c r="F21" s="83" t="s">
        <v>47</v>
      </c>
      <c r="G21" s="84">
        <v>43101</v>
      </c>
      <c r="H21" s="100">
        <v>6</v>
      </c>
      <c r="I21" s="101"/>
      <c r="J21" s="97">
        <v>30</v>
      </c>
      <c r="K21" s="62">
        <v>2142.4</v>
      </c>
      <c r="L21" s="91">
        <v>21.6</v>
      </c>
      <c r="M21" s="91">
        <v>21.6</v>
      </c>
      <c r="N21" s="91">
        <v>21.6</v>
      </c>
      <c r="O21" s="91">
        <v>21.6</v>
      </c>
      <c r="P21" s="96">
        <v>318.3</v>
      </c>
      <c r="Q21" s="43">
        <v>25.2</v>
      </c>
      <c r="R21" s="62">
        <f t="shared" si="6"/>
        <v>111.60000000000001</v>
      </c>
      <c r="S21" s="62">
        <f t="shared" si="0"/>
        <v>11.160000000000002</v>
      </c>
      <c r="T21" s="62">
        <f t="shared" si="1"/>
        <v>1.9083600000000003</v>
      </c>
      <c r="U21" s="62">
        <f t="shared" si="2"/>
        <v>0.55800000000000005</v>
      </c>
      <c r="V21" s="62">
        <f t="shared" si="3"/>
        <v>0.55800000000000005</v>
      </c>
      <c r="W21" s="43">
        <v>0</v>
      </c>
      <c r="X21" s="43">
        <f t="shared" si="4"/>
        <v>14.184360000000002</v>
      </c>
      <c r="Y21" s="43">
        <f t="shared" si="5"/>
        <v>97.41564000000001</v>
      </c>
      <c r="Z21" s="44"/>
      <c r="AB21" s="45"/>
    </row>
    <row r="22" spans="1:28" ht="22.5" customHeight="1">
      <c r="A22" s="57">
        <v>12</v>
      </c>
      <c r="B22" s="41" t="s">
        <v>31</v>
      </c>
      <c r="C22" s="41" t="s">
        <v>62</v>
      </c>
      <c r="D22" s="42"/>
      <c r="E22" s="14"/>
      <c r="F22" s="83" t="s">
        <v>32</v>
      </c>
      <c r="G22" s="84">
        <v>44228</v>
      </c>
      <c r="H22" s="102">
        <v>5</v>
      </c>
      <c r="I22" s="103"/>
      <c r="J22" s="104">
        <v>30</v>
      </c>
      <c r="K22" s="38">
        <v>2348</v>
      </c>
      <c r="L22" s="92"/>
      <c r="M22" s="92"/>
      <c r="N22" s="92"/>
      <c r="O22" s="91"/>
      <c r="P22" s="96">
        <v>0</v>
      </c>
      <c r="Q22" s="43"/>
      <c r="R22" s="62">
        <f t="shared" si="6"/>
        <v>0</v>
      </c>
      <c r="S22" s="62">
        <f t="shared" si="0"/>
        <v>0</v>
      </c>
      <c r="T22" s="62">
        <f t="shared" si="1"/>
        <v>0</v>
      </c>
      <c r="U22" s="62">
        <f t="shared" si="2"/>
        <v>0</v>
      </c>
      <c r="V22" s="62">
        <f t="shared" si="3"/>
        <v>0</v>
      </c>
      <c r="W22" s="43">
        <v>0</v>
      </c>
      <c r="X22" s="43">
        <f t="shared" si="4"/>
        <v>0</v>
      </c>
      <c r="Y22" s="43">
        <f t="shared" si="5"/>
        <v>0</v>
      </c>
      <c r="Z22" s="44"/>
      <c r="AB22" s="45"/>
    </row>
    <row r="23" spans="1:28" ht="22.5" customHeight="1">
      <c r="A23" s="57">
        <v>13</v>
      </c>
      <c r="B23" s="41" t="s">
        <v>52</v>
      </c>
      <c r="C23" s="41" t="s">
        <v>128</v>
      </c>
      <c r="D23" s="42"/>
      <c r="E23" s="14"/>
      <c r="F23" s="83" t="s">
        <v>40</v>
      </c>
      <c r="G23" s="84">
        <v>44256</v>
      </c>
      <c r="H23" s="102">
        <v>6</v>
      </c>
      <c r="I23" s="103"/>
      <c r="J23" s="104">
        <v>30</v>
      </c>
      <c r="K23" s="38">
        <v>2291.21</v>
      </c>
      <c r="L23" s="92"/>
      <c r="M23" s="92"/>
      <c r="N23" s="92"/>
      <c r="O23" s="91"/>
      <c r="P23" s="96">
        <v>0</v>
      </c>
      <c r="Q23" s="43"/>
      <c r="R23" s="62">
        <f t="shared" si="6"/>
        <v>0</v>
      </c>
      <c r="S23" s="62">
        <f t="shared" si="0"/>
        <v>0</v>
      </c>
      <c r="T23" s="62">
        <f t="shared" si="1"/>
        <v>0</v>
      </c>
      <c r="U23" s="62">
        <f t="shared" si="2"/>
        <v>0</v>
      </c>
      <c r="V23" s="62">
        <f t="shared" si="3"/>
        <v>0</v>
      </c>
      <c r="W23" s="43">
        <v>0</v>
      </c>
      <c r="X23" s="43">
        <f t="shared" si="4"/>
        <v>0</v>
      </c>
      <c r="Y23" s="43">
        <f t="shared" si="5"/>
        <v>0</v>
      </c>
      <c r="Z23" s="44"/>
      <c r="AB23" s="45"/>
    </row>
    <row r="24" spans="1:28" ht="22.5" customHeight="1">
      <c r="A24" s="57">
        <v>14</v>
      </c>
      <c r="B24" s="21" t="s">
        <v>96</v>
      </c>
      <c r="C24" s="21" t="s">
        <v>97</v>
      </c>
      <c r="D24" s="20"/>
      <c r="E24" s="22" t="s">
        <v>40</v>
      </c>
      <c r="F24" s="83" t="s">
        <v>40</v>
      </c>
      <c r="G24" s="84">
        <v>44197</v>
      </c>
      <c r="H24" s="100">
        <v>5</v>
      </c>
      <c r="I24" s="101"/>
      <c r="J24" s="97">
        <v>30</v>
      </c>
      <c r="K24" s="62">
        <v>2122</v>
      </c>
      <c r="L24" s="91">
        <v>42</v>
      </c>
      <c r="M24" s="91">
        <v>42</v>
      </c>
      <c r="N24" s="91">
        <v>42</v>
      </c>
      <c r="O24" s="91">
        <v>42</v>
      </c>
      <c r="P24" s="96">
        <v>0</v>
      </c>
      <c r="Q24" s="43"/>
      <c r="R24" s="62">
        <f t="shared" si="6"/>
        <v>168</v>
      </c>
      <c r="S24" s="62">
        <f t="shared" si="0"/>
        <v>16.8</v>
      </c>
      <c r="T24" s="62">
        <f t="shared" si="1"/>
        <v>2.8728000000000002</v>
      </c>
      <c r="U24" s="62">
        <f t="shared" si="2"/>
        <v>0.84</v>
      </c>
      <c r="V24" s="62">
        <f t="shared" si="3"/>
        <v>0.84</v>
      </c>
      <c r="W24" s="43">
        <v>0</v>
      </c>
      <c r="X24" s="43">
        <f t="shared" si="4"/>
        <v>21.352800000000002</v>
      </c>
      <c r="Y24" s="43">
        <f t="shared" si="5"/>
        <v>146.6472</v>
      </c>
      <c r="Z24" s="44"/>
      <c r="AB24" s="45"/>
    </row>
    <row r="25" spans="1:28" ht="22.5" customHeight="1">
      <c r="A25" s="57">
        <v>15</v>
      </c>
      <c r="B25" s="41" t="s">
        <v>82</v>
      </c>
      <c r="C25" s="41" t="s">
        <v>83</v>
      </c>
      <c r="D25" s="42"/>
      <c r="E25" s="14"/>
      <c r="F25" s="83" t="s">
        <v>36</v>
      </c>
      <c r="G25" s="84">
        <v>44228</v>
      </c>
      <c r="H25" s="102">
        <v>4</v>
      </c>
      <c r="I25" s="103"/>
      <c r="J25" s="104">
        <v>30</v>
      </c>
      <c r="K25" s="38">
        <v>2122</v>
      </c>
      <c r="L25" s="92"/>
      <c r="M25" s="92">
        <v>42</v>
      </c>
      <c r="N25" s="92">
        <v>42</v>
      </c>
      <c r="O25" s="91">
        <v>42</v>
      </c>
      <c r="P25" s="96">
        <v>0</v>
      </c>
      <c r="Q25" s="43"/>
      <c r="R25" s="62">
        <f t="shared" si="6"/>
        <v>126</v>
      </c>
      <c r="S25" s="62">
        <f t="shared" si="0"/>
        <v>12.600000000000001</v>
      </c>
      <c r="T25" s="62">
        <f t="shared" si="1"/>
        <v>2.1546000000000003</v>
      </c>
      <c r="U25" s="62">
        <f t="shared" si="2"/>
        <v>0.63</v>
      </c>
      <c r="V25" s="62">
        <f t="shared" si="3"/>
        <v>0.63</v>
      </c>
      <c r="W25" s="43">
        <v>0</v>
      </c>
      <c r="X25" s="43">
        <f t="shared" si="4"/>
        <v>16.014600000000002</v>
      </c>
      <c r="Y25" s="43">
        <f t="shared" si="5"/>
        <v>109.9854</v>
      </c>
      <c r="Z25" s="44"/>
      <c r="AB25" s="45"/>
    </row>
    <row r="26" spans="1:28" ht="22.5" customHeight="1">
      <c r="A26" s="57">
        <v>16</v>
      </c>
      <c r="B26" s="41" t="s">
        <v>35</v>
      </c>
      <c r="C26" s="41" t="s">
        <v>64</v>
      </c>
      <c r="D26" s="42"/>
      <c r="E26" s="14"/>
      <c r="F26" s="83" t="s">
        <v>36</v>
      </c>
      <c r="G26" s="84">
        <v>44228</v>
      </c>
      <c r="H26" s="102">
        <v>4</v>
      </c>
      <c r="I26" s="103"/>
      <c r="J26" s="104">
        <v>30</v>
      </c>
      <c r="K26" s="38">
        <v>2272.42</v>
      </c>
      <c r="L26" s="92"/>
      <c r="M26" s="92"/>
      <c r="N26" s="92"/>
      <c r="O26" s="91"/>
      <c r="P26" s="96">
        <v>0</v>
      </c>
      <c r="Q26" s="43"/>
      <c r="R26" s="62">
        <f t="shared" si="6"/>
        <v>0</v>
      </c>
      <c r="S26" s="62">
        <f t="shared" si="0"/>
        <v>0</v>
      </c>
      <c r="T26" s="62">
        <f t="shared" si="1"/>
        <v>0</v>
      </c>
      <c r="U26" s="62">
        <f t="shared" si="2"/>
        <v>0</v>
      </c>
      <c r="V26" s="62">
        <f t="shared" si="3"/>
        <v>0</v>
      </c>
      <c r="W26" s="43">
        <v>0</v>
      </c>
      <c r="X26" s="43">
        <f t="shared" si="4"/>
        <v>0</v>
      </c>
      <c r="Y26" s="43">
        <f t="shared" si="5"/>
        <v>0</v>
      </c>
      <c r="Z26" s="44"/>
      <c r="AB26" s="45"/>
    </row>
    <row r="27" spans="1:28" ht="22.5" customHeight="1">
      <c r="A27" s="57">
        <v>17</v>
      </c>
      <c r="B27" s="41" t="s">
        <v>41</v>
      </c>
      <c r="C27" s="41" t="s">
        <v>72</v>
      </c>
      <c r="D27" s="42"/>
      <c r="E27" s="14"/>
      <c r="F27" s="83" t="s">
        <v>73</v>
      </c>
      <c r="G27" s="84">
        <v>44228</v>
      </c>
      <c r="H27" s="102">
        <v>6</v>
      </c>
      <c r="I27" s="103"/>
      <c r="J27" s="104">
        <v>30</v>
      </c>
      <c r="K27" s="38">
        <v>2122</v>
      </c>
      <c r="L27" s="92"/>
      <c r="M27" s="92">
        <v>42</v>
      </c>
      <c r="N27" s="92">
        <v>42</v>
      </c>
      <c r="O27" s="91">
        <v>42</v>
      </c>
      <c r="P27" s="96">
        <v>0</v>
      </c>
      <c r="Q27" s="43"/>
      <c r="R27" s="62">
        <f t="shared" si="6"/>
        <v>126</v>
      </c>
      <c r="S27" s="62">
        <f t="shared" si="0"/>
        <v>12.600000000000001</v>
      </c>
      <c r="T27" s="62">
        <f t="shared" si="1"/>
        <v>2.1546000000000003</v>
      </c>
      <c r="U27" s="62">
        <f t="shared" si="2"/>
        <v>0.63</v>
      </c>
      <c r="V27" s="62">
        <f t="shared" si="3"/>
        <v>0.63</v>
      </c>
      <c r="W27" s="43">
        <v>0</v>
      </c>
      <c r="X27" s="43">
        <f t="shared" si="4"/>
        <v>16.014600000000002</v>
      </c>
      <c r="Y27" s="43">
        <f t="shared" si="5"/>
        <v>109.9854</v>
      </c>
      <c r="Z27" s="44"/>
      <c r="AB27" s="45"/>
    </row>
    <row r="28" spans="1:28" ht="22.5" customHeight="1">
      <c r="A28" s="57">
        <v>18</v>
      </c>
      <c r="B28" s="41" t="s">
        <v>77</v>
      </c>
      <c r="C28" s="41" t="s">
        <v>125</v>
      </c>
      <c r="D28" s="42"/>
      <c r="E28" s="14"/>
      <c r="F28" s="83" t="s">
        <v>32</v>
      </c>
      <c r="G28" s="84">
        <v>44228</v>
      </c>
      <c r="H28" s="102">
        <v>5</v>
      </c>
      <c r="I28" s="103"/>
      <c r="J28" s="104">
        <v>30</v>
      </c>
      <c r="K28" s="38">
        <v>2122</v>
      </c>
      <c r="L28" s="92"/>
      <c r="M28" s="92">
        <v>42</v>
      </c>
      <c r="N28" s="92">
        <v>42</v>
      </c>
      <c r="O28" s="91">
        <v>42</v>
      </c>
      <c r="P28" s="96">
        <v>0</v>
      </c>
      <c r="Q28" s="43"/>
      <c r="R28" s="62">
        <f t="shared" si="6"/>
        <v>126</v>
      </c>
      <c r="S28" s="62">
        <f t="shared" si="0"/>
        <v>12.600000000000001</v>
      </c>
      <c r="T28" s="62">
        <f t="shared" si="1"/>
        <v>2.1546000000000003</v>
      </c>
      <c r="U28" s="62">
        <f t="shared" si="2"/>
        <v>0.63</v>
      </c>
      <c r="V28" s="62">
        <f t="shared" si="3"/>
        <v>0.63</v>
      </c>
      <c r="W28" s="43">
        <v>0</v>
      </c>
      <c r="X28" s="43">
        <f t="shared" si="4"/>
        <v>16.014600000000002</v>
      </c>
      <c r="Y28" s="43">
        <f t="shared" si="5"/>
        <v>109.9854</v>
      </c>
      <c r="Z28" s="44"/>
      <c r="AB28" s="45"/>
    </row>
    <row r="29" spans="1:28" ht="22.5" customHeight="1">
      <c r="A29" s="57">
        <v>19</v>
      </c>
      <c r="B29" s="70" t="s">
        <v>50</v>
      </c>
      <c r="C29" s="70" t="s">
        <v>66</v>
      </c>
      <c r="D29" s="71"/>
      <c r="E29" s="72"/>
      <c r="F29" s="85" t="s">
        <v>51</v>
      </c>
      <c r="G29" s="86">
        <v>44228</v>
      </c>
      <c r="H29" s="105">
        <v>5</v>
      </c>
      <c r="I29" s="103"/>
      <c r="J29" s="106">
        <v>30</v>
      </c>
      <c r="K29" s="38">
        <v>2122</v>
      </c>
      <c r="L29" s="92"/>
      <c r="M29" s="92">
        <v>42</v>
      </c>
      <c r="N29" s="92">
        <v>42</v>
      </c>
      <c r="O29" s="91">
        <v>42</v>
      </c>
      <c r="P29" s="96">
        <v>0</v>
      </c>
      <c r="Q29" s="43"/>
      <c r="R29" s="62">
        <f t="shared" si="6"/>
        <v>126</v>
      </c>
      <c r="S29" s="62">
        <f t="shared" si="0"/>
        <v>12.600000000000001</v>
      </c>
      <c r="T29" s="62">
        <f t="shared" si="1"/>
        <v>2.1546000000000003</v>
      </c>
      <c r="U29" s="62">
        <f t="shared" si="2"/>
        <v>0.63</v>
      </c>
      <c r="V29" s="62">
        <f t="shared" si="3"/>
        <v>0.63</v>
      </c>
      <c r="W29" s="43">
        <v>0</v>
      </c>
      <c r="X29" s="43">
        <f t="shared" si="4"/>
        <v>16.014600000000002</v>
      </c>
      <c r="Y29" s="43">
        <f t="shared" si="5"/>
        <v>109.9854</v>
      </c>
      <c r="Z29" s="44"/>
      <c r="AB29" s="45"/>
    </row>
    <row r="30" spans="1:28" ht="22.5" customHeight="1">
      <c r="A30" s="57">
        <v>20</v>
      </c>
      <c r="B30" s="41" t="s">
        <v>43</v>
      </c>
      <c r="C30" s="41" t="s">
        <v>124</v>
      </c>
      <c r="D30" s="42"/>
      <c r="E30" s="14"/>
      <c r="F30" s="83" t="s">
        <v>36</v>
      </c>
      <c r="G30" s="84">
        <v>44256</v>
      </c>
      <c r="H30" s="102">
        <v>5</v>
      </c>
      <c r="I30" s="107"/>
      <c r="J30" s="106">
        <v>30</v>
      </c>
      <c r="K30" s="68">
        <v>2122</v>
      </c>
      <c r="L30" s="93"/>
      <c r="M30" s="93"/>
      <c r="N30" s="93">
        <v>42</v>
      </c>
      <c r="O30" s="94">
        <v>42</v>
      </c>
      <c r="P30" s="96">
        <v>0</v>
      </c>
      <c r="Q30" s="43"/>
      <c r="R30" s="62">
        <f t="shared" si="6"/>
        <v>84</v>
      </c>
      <c r="S30" s="62">
        <f t="shared" si="0"/>
        <v>8.4</v>
      </c>
      <c r="T30" s="62">
        <f t="shared" si="1"/>
        <v>1.4364000000000001</v>
      </c>
      <c r="U30" s="62">
        <f t="shared" si="2"/>
        <v>0.42</v>
      </c>
      <c r="V30" s="62">
        <f t="shared" si="3"/>
        <v>0.42</v>
      </c>
      <c r="W30" s="43">
        <v>0</v>
      </c>
      <c r="X30" s="43">
        <f t="shared" si="4"/>
        <v>10.676400000000001</v>
      </c>
      <c r="Y30" s="43">
        <f t="shared" si="5"/>
        <v>73.323599999999999</v>
      </c>
      <c r="Z30" s="44"/>
      <c r="AB30" s="45"/>
    </row>
    <row r="31" spans="1:28" ht="22.5" customHeight="1">
      <c r="A31" s="57">
        <v>21</v>
      </c>
      <c r="B31" s="41" t="s">
        <v>37</v>
      </c>
      <c r="C31" s="41" t="s">
        <v>38</v>
      </c>
      <c r="D31" s="42"/>
      <c r="E31" s="14"/>
      <c r="F31" s="83" t="s">
        <v>34</v>
      </c>
      <c r="G31" s="84">
        <v>44256</v>
      </c>
      <c r="H31" s="102">
        <v>5</v>
      </c>
      <c r="I31" s="107"/>
      <c r="J31" s="106">
        <v>30</v>
      </c>
      <c r="K31" s="68">
        <v>2122</v>
      </c>
      <c r="L31" s="93"/>
      <c r="M31" s="93"/>
      <c r="N31" s="93">
        <v>42</v>
      </c>
      <c r="O31" s="94">
        <v>42</v>
      </c>
      <c r="P31" s="96">
        <v>0</v>
      </c>
      <c r="Q31" s="43"/>
      <c r="R31" s="62">
        <f t="shared" si="6"/>
        <v>84</v>
      </c>
      <c r="S31" s="62">
        <f t="shared" si="0"/>
        <v>8.4</v>
      </c>
      <c r="T31" s="62">
        <f t="shared" si="1"/>
        <v>1.4364000000000001</v>
      </c>
      <c r="U31" s="62">
        <f t="shared" si="2"/>
        <v>0.42</v>
      </c>
      <c r="V31" s="62">
        <f t="shared" si="3"/>
        <v>0.42</v>
      </c>
      <c r="W31" s="43">
        <v>0</v>
      </c>
      <c r="X31" s="43">
        <f t="shared" si="4"/>
        <v>10.676400000000001</v>
      </c>
      <c r="Y31" s="43">
        <f t="shared" si="5"/>
        <v>73.323599999999999</v>
      </c>
      <c r="Z31" s="44"/>
      <c r="AB31" s="45"/>
    </row>
    <row r="32" spans="1:28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47906.27</v>
      </c>
      <c r="L32" s="95">
        <f>SUM(L11:L31)</f>
        <v>126.6</v>
      </c>
      <c r="M32" s="95">
        <f>SUM(M11:M31)</f>
        <v>483.6</v>
      </c>
      <c r="N32" s="95">
        <f>SUM(N11:N31)</f>
        <v>567.6</v>
      </c>
      <c r="O32" s="95">
        <f>SUM(O11:O31)</f>
        <v>567.6</v>
      </c>
      <c r="P32" s="95">
        <f t="shared" ref="P32" si="7">SUM(P14:P29)</f>
        <v>318.3</v>
      </c>
      <c r="Q32" s="32">
        <f t="shared" ref="Q32:V32" si="8">SUM(Q11:Q31)</f>
        <v>25.2</v>
      </c>
      <c r="R32" s="32">
        <f t="shared" si="8"/>
        <v>1770.6</v>
      </c>
      <c r="S32" s="32">
        <f t="shared" si="8"/>
        <v>177.06</v>
      </c>
      <c r="T32" s="32">
        <f t="shared" si="8"/>
        <v>30.277260000000005</v>
      </c>
      <c r="U32" s="32">
        <f t="shared" si="8"/>
        <v>8.8529999999999998</v>
      </c>
      <c r="V32" s="32">
        <f t="shared" si="8"/>
        <v>8.8529999999999998</v>
      </c>
      <c r="W32" s="32">
        <f>SUM(W14:W31)</f>
        <v>0</v>
      </c>
      <c r="X32" s="32">
        <f>SUM(X11:X31)</f>
        <v>225.04326000000003</v>
      </c>
      <c r="Y32" s="32">
        <f>SUM(Y11:Y31)</f>
        <v>1545.55674</v>
      </c>
      <c r="Z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s="23">
        <f>SUM(X32:X32)</f>
        <v>225.04326000000003</v>
      </c>
      <c r="Y33" s="23"/>
    </row>
    <row r="34" spans="1:26">
      <c r="R34" s="46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123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</sheetData>
  <mergeCells count="17">
    <mergeCell ref="P8:P10"/>
    <mergeCell ref="R8:R10"/>
    <mergeCell ref="S8:W8"/>
    <mergeCell ref="X8:X10"/>
    <mergeCell ref="Y8:Y10"/>
    <mergeCell ref="A4:Z4"/>
    <mergeCell ref="A5:Z5"/>
    <mergeCell ref="A6:Z6"/>
    <mergeCell ref="A8:A10"/>
    <mergeCell ref="B8:B10"/>
    <mergeCell ref="C8:C10"/>
    <mergeCell ref="D8:D10"/>
    <mergeCell ref="E8:E10"/>
    <mergeCell ref="F8:F10"/>
    <mergeCell ref="G8:G10"/>
    <mergeCell ref="Z8:Z10"/>
    <mergeCell ref="K8:K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Hoja10"/>
  <dimension ref="A1:X36"/>
  <sheetViews>
    <sheetView workbookViewId="0">
      <selection activeCell="C24" sqref="C24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120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31" si="0">K11+M11</f>
        <v>2164</v>
      </c>
      <c r="O11" s="62">
        <f t="shared" ref="O11:O31" si="1">+N11*0.1</f>
        <v>216.4</v>
      </c>
      <c r="P11" s="62">
        <f t="shared" ref="P11:P31" si="2">+N11*0.0171</f>
        <v>37.004400000000004</v>
      </c>
      <c r="Q11" s="62">
        <f t="shared" ref="Q11:Q31" si="3">+N11*0.005</f>
        <v>10.82</v>
      </c>
      <c r="R11" s="62">
        <f t="shared" ref="R11:R31" si="4">N11*0.5%</f>
        <v>10.82</v>
      </c>
      <c r="S11" s="43">
        <v>0</v>
      </c>
      <c r="T11" s="43">
        <f t="shared" ref="T11:T31" si="5">+O11+P11+Q11+R11+S11</f>
        <v>275.0444</v>
      </c>
      <c r="U11" s="43">
        <f t="shared" ref="U11:U31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19</v>
      </c>
      <c r="C16" s="41" t="s">
        <v>20</v>
      </c>
      <c r="D16" s="42">
        <v>22218</v>
      </c>
      <c r="E16" s="14" t="s">
        <v>18</v>
      </c>
      <c r="F16" s="41" t="s">
        <v>34</v>
      </c>
      <c r="G16" s="30">
        <v>44256</v>
      </c>
      <c r="H16" s="40">
        <v>6</v>
      </c>
      <c r="J16" s="15">
        <v>15</v>
      </c>
      <c r="K16" s="38">
        <v>1145.5999999999999</v>
      </c>
      <c r="L16" s="62"/>
      <c r="M16" s="43">
        <v>0</v>
      </c>
      <c r="N16" s="62">
        <f t="shared" si="0"/>
        <v>1145.5999999999999</v>
      </c>
      <c r="O16" s="62">
        <f t="shared" si="1"/>
        <v>114.56</v>
      </c>
      <c r="P16" s="62">
        <f t="shared" si="2"/>
        <v>19.589759999999998</v>
      </c>
      <c r="Q16" s="62">
        <f t="shared" si="3"/>
        <v>5.7279999999999998</v>
      </c>
      <c r="R16" s="62">
        <f t="shared" si="4"/>
        <v>5.7279999999999998</v>
      </c>
      <c r="S16" s="43">
        <v>0</v>
      </c>
      <c r="T16" s="43">
        <f t="shared" si="5"/>
        <v>145.60576000000003</v>
      </c>
      <c r="U16" s="43">
        <f t="shared" si="6"/>
        <v>999.99423999999988</v>
      </c>
      <c r="V16" s="44"/>
      <c r="X16" s="45"/>
    </row>
    <row r="17" spans="1:24" ht="22.5" customHeight="1">
      <c r="A17" s="57">
        <v>7</v>
      </c>
      <c r="B17" s="41" t="s">
        <v>101</v>
      </c>
      <c r="C17" s="41" t="s">
        <v>102</v>
      </c>
      <c r="D17" s="42"/>
      <c r="E17" s="14"/>
      <c r="F17" s="41" t="s">
        <v>103</v>
      </c>
      <c r="G17" s="30">
        <v>44228</v>
      </c>
      <c r="H17" s="40">
        <v>6</v>
      </c>
      <c r="J17" s="15">
        <v>30</v>
      </c>
      <c r="K17" s="38">
        <v>2164</v>
      </c>
      <c r="L17" s="62"/>
      <c r="M17" s="43">
        <v>0</v>
      </c>
      <c r="N17" s="62">
        <f t="shared" si="0"/>
        <v>2164</v>
      </c>
      <c r="O17" s="62">
        <f t="shared" si="1"/>
        <v>216.4</v>
      </c>
      <c r="P17" s="62">
        <f t="shared" si="2"/>
        <v>37.004400000000004</v>
      </c>
      <c r="Q17" s="62">
        <f t="shared" si="3"/>
        <v>10.82</v>
      </c>
      <c r="R17" s="62">
        <f t="shared" si="4"/>
        <v>10.82</v>
      </c>
      <c r="S17" s="43">
        <v>0</v>
      </c>
      <c r="T17" s="43">
        <f t="shared" si="5"/>
        <v>275.0444</v>
      </c>
      <c r="U17" s="43">
        <f t="shared" si="6"/>
        <v>1888.9556</v>
      </c>
      <c r="V17" s="44"/>
      <c r="X17" s="45"/>
    </row>
    <row r="18" spans="1:24" ht="22.5" customHeight="1">
      <c r="A18" s="57">
        <v>8</v>
      </c>
      <c r="B18" s="41" t="s">
        <v>105</v>
      </c>
      <c r="C18" s="41" t="s">
        <v>104</v>
      </c>
      <c r="D18" s="42"/>
      <c r="E18" s="14"/>
      <c r="F18" s="41" t="s">
        <v>32</v>
      </c>
      <c r="G18" s="30">
        <v>44228</v>
      </c>
      <c r="H18" s="40">
        <v>5</v>
      </c>
      <c r="J18" s="15">
        <v>30</v>
      </c>
      <c r="K18" s="38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4" ht="22.5" customHeight="1">
      <c r="A19" s="57">
        <v>9</v>
      </c>
      <c r="B19" s="41" t="s">
        <v>69</v>
      </c>
      <c r="C19" s="41" t="s">
        <v>70</v>
      </c>
      <c r="D19" s="42"/>
      <c r="E19" s="14"/>
      <c r="F19" s="41" t="s">
        <v>71</v>
      </c>
      <c r="G19" s="30">
        <v>44212</v>
      </c>
      <c r="H19" s="63">
        <v>6</v>
      </c>
      <c r="I19" s="64"/>
      <c r="J19" s="14">
        <v>30</v>
      </c>
      <c r="K19" s="62">
        <v>2164</v>
      </c>
      <c r="L19" s="62"/>
      <c r="M19" s="43">
        <v>0</v>
      </c>
      <c r="N19" s="62">
        <f t="shared" si="0"/>
        <v>2164</v>
      </c>
      <c r="O19" s="62">
        <f t="shared" si="1"/>
        <v>216.4</v>
      </c>
      <c r="P19" s="62">
        <f t="shared" si="2"/>
        <v>37.004400000000004</v>
      </c>
      <c r="Q19" s="62">
        <f t="shared" si="3"/>
        <v>10.82</v>
      </c>
      <c r="R19" s="62">
        <f t="shared" si="4"/>
        <v>10.82</v>
      </c>
      <c r="S19" s="43">
        <v>0</v>
      </c>
      <c r="T19" s="43">
        <f t="shared" si="5"/>
        <v>275.0444</v>
      </c>
      <c r="U19" s="43">
        <f t="shared" si="6"/>
        <v>1888.9556</v>
      </c>
      <c r="V19" s="44"/>
      <c r="X19" s="45"/>
    </row>
    <row r="20" spans="1:24" ht="22.5" customHeight="1">
      <c r="A20" s="57">
        <v>10</v>
      </c>
      <c r="B20" s="21" t="s">
        <v>85</v>
      </c>
      <c r="C20" s="21" t="s">
        <v>86</v>
      </c>
      <c r="D20" s="20"/>
      <c r="E20" s="22" t="s">
        <v>40</v>
      </c>
      <c r="F20" s="30" t="s">
        <v>40</v>
      </c>
      <c r="G20" s="30">
        <v>44197</v>
      </c>
      <c r="H20" s="14">
        <v>5</v>
      </c>
      <c r="I20" s="43">
        <v>2122</v>
      </c>
      <c r="J20" s="14">
        <v>30</v>
      </c>
      <c r="K20" s="62">
        <v>2164</v>
      </c>
      <c r="L20" s="62"/>
      <c r="M20" s="43">
        <v>0</v>
      </c>
      <c r="N20" s="62">
        <f t="shared" si="0"/>
        <v>2164</v>
      </c>
      <c r="O20" s="62">
        <f t="shared" si="1"/>
        <v>216.4</v>
      </c>
      <c r="P20" s="62">
        <f t="shared" si="2"/>
        <v>37.004400000000004</v>
      </c>
      <c r="Q20" s="62">
        <f t="shared" si="3"/>
        <v>10.82</v>
      </c>
      <c r="R20" s="62">
        <f t="shared" si="4"/>
        <v>10.82</v>
      </c>
      <c r="S20" s="43">
        <v>0</v>
      </c>
      <c r="T20" s="43">
        <f t="shared" si="5"/>
        <v>275.0444</v>
      </c>
      <c r="U20" s="43">
        <f t="shared" si="6"/>
        <v>1888.9556</v>
      </c>
      <c r="V20" s="44"/>
      <c r="X20" s="45"/>
    </row>
    <row r="21" spans="1:24" ht="22.5" customHeight="1">
      <c r="A21" s="57">
        <v>11</v>
      </c>
      <c r="B21" s="41" t="s">
        <v>45</v>
      </c>
      <c r="C21" s="41" t="s">
        <v>46</v>
      </c>
      <c r="D21" s="42"/>
      <c r="E21" s="14"/>
      <c r="F21" s="41" t="s">
        <v>47</v>
      </c>
      <c r="G21" s="30">
        <v>43101</v>
      </c>
      <c r="H21" s="63">
        <v>6</v>
      </c>
      <c r="I21" s="64"/>
      <c r="J21" s="14">
        <v>30</v>
      </c>
      <c r="K21" s="62">
        <v>2164</v>
      </c>
      <c r="L21" s="62"/>
      <c r="M21" s="43">
        <v>324.60000000000002</v>
      </c>
      <c r="N21" s="62">
        <f t="shared" si="0"/>
        <v>2488.6</v>
      </c>
      <c r="O21" s="62">
        <f t="shared" si="1"/>
        <v>248.86</v>
      </c>
      <c r="P21" s="62">
        <f t="shared" si="2"/>
        <v>42.555059999999997</v>
      </c>
      <c r="Q21" s="62">
        <f t="shared" si="3"/>
        <v>12.443</v>
      </c>
      <c r="R21" s="62">
        <f t="shared" si="4"/>
        <v>12.443</v>
      </c>
      <c r="S21" s="43">
        <v>0</v>
      </c>
      <c r="T21" s="43">
        <f t="shared" si="5"/>
        <v>316.30106000000001</v>
      </c>
      <c r="U21" s="43">
        <f t="shared" si="6"/>
        <v>2172.2989399999997</v>
      </c>
      <c r="V21" s="44"/>
      <c r="X21" s="45"/>
    </row>
    <row r="22" spans="1:24" ht="22.5" customHeight="1">
      <c r="A22" s="57">
        <v>12</v>
      </c>
      <c r="B22" s="41" t="s">
        <v>31</v>
      </c>
      <c r="C22" s="41" t="s">
        <v>62</v>
      </c>
      <c r="D22" s="42"/>
      <c r="E22" s="14"/>
      <c r="F22" s="41" t="s">
        <v>32</v>
      </c>
      <c r="G22" s="30">
        <v>44228</v>
      </c>
      <c r="H22" s="40">
        <v>5</v>
      </c>
      <c r="J22" s="15">
        <v>30</v>
      </c>
      <c r="K22" s="38">
        <v>2348</v>
      </c>
      <c r="L22" s="62"/>
      <c r="M22" s="43">
        <v>0</v>
      </c>
      <c r="N22" s="62">
        <f t="shared" si="0"/>
        <v>2348</v>
      </c>
      <c r="O22" s="62">
        <f t="shared" si="1"/>
        <v>234.8</v>
      </c>
      <c r="P22" s="62">
        <f t="shared" si="2"/>
        <v>40.150800000000004</v>
      </c>
      <c r="Q22" s="62">
        <f t="shared" si="3"/>
        <v>11.74</v>
      </c>
      <c r="R22" s="62">
        <f t="shared" si="4"/>
        <v>11.74</v>
      </c>
      <c r="S22" s="43">
        <v>0</v>
      </c>
      <c r="T22" s="43">
        <f t="shared" si="5"/>
        <v>298.43080000000003</v>
      </c>
      <c r="U22" s="43">
        <f t="shared" si="6"/>
        <v>2049.5691999999999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44256</v>
      </c>
      <c r="H23" s="40">
        <v>6</v>
      </c>
      <c r="J23" s="15">
        <v>30</v>
      </c>
      <c r="K23" s="38">
        <v>2291.21</v>
      </c>
      <c r="L23" s="62"/>
      <c r="M23" s="43">
        <v>0</v>
      </c>
      <c r="N23" s="62">
        <f t="shared" si="0"/>
        <v>2291.21</v>
      </c>
      <c r="O23" s="62">
        <f t="shared" si="1"/>
        <v>229.12100000000001</v>
      </c>
      <c r="P23" s="62">
        <f t="shared" si="2"/>
        <v>39.179691000000005</v>
      </c>
      <c r="Q23" s="62">
        <f t="shared" si="3"/>
        <v>11.456050000000001</v>
      </c>
      <c r="R23" s="62">
        <f t="shared" si="4"/>
        <v>11.456050000000001</v>
      </c>
      <c r="S23" s="43">
        <v>0</v>
      </c>
      <c r="T23" s="43">
        <f t="shared" si="5"/>
        <v>291.21279100000004</v>
      </c>
      <c r="U23" s="43">
        <f t="shared" si="6"/>
        <v>1999.9972090000001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97</v>
      </c>
      <c r="D24" s="20"/>
      <c r="E24" s="22" t="s">
        <v>40</v>
      </c>
      <c r="F24" s="41" t="s">
        <v>40</v>
      </c>
      <c r="G24" s="30">
        <v>44197</v>
      </c>
      <c r="H24" s="63">
        <v>5</v>
      </c>
      <c r="I24" s="64"/>
      <c r="J24" s="14">
        <v>30</v>
      </c>
      <c r="K24" s="62">
        <v>2164</v>
      </c>
      <c r="L24" s="62"/>
      <c r="M24" s="43">
        <v>0</v>
      </c>
      <c r="N24" s="62">
        <f t="shared" si="0"/>
        <v>2164</v>
      </c>
      <c r="O24" s="62">
        <f t="shared" si="1"/>
        <v>216.4</v>
      </c>
      <c r="P24" s="62">
        <f t="shared" si="2"/>
        <v>37.004400000000004</v>
      </c>
      <c r="Q24" s="62">
        <f t="shared" si="3"/>
        <v>10.82</v>
      </c>
      <c r="R24" s="62">
        <f t="shared" si="4"/>
        <v>10.82</v>
      </c>
      <c r="S24" s="43">
        <v>0</v>
      </c>
      <c r="T24" s="43">
        <f t="shared" si="5"/>
        <v>275.0444</v>
      </c>
      <c r="U24" s="43">
        <f t="shared" si="6"/>
        <v>1888.9556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44228</v>
      </c>
      <c r="H25" s="40">
        <v>4</v>
      </c>
      <c r="J25" s="15">
        <v>30</v>
      </c>
      <c r="K25" s="38">
        <v>2164</v>
      </c>
      <c r="L25" s="62"/>
      <c r="M25" s="43">
        <v>0</v>
      </c>
      <c r="N25" s="62">
        <f t="shared" si="0"/>
        <v>2164</v>
      </c>
      <c r="O25" s="62">
        <f t="shared" si="1"/>
        <v>216.4</v>
      </c>
      <c r="P25" s="62">
        <f t="shared" si="2"/>
        <v>37.004400000000004</v>
      </c>
      <c r="Q25" s="62">
        <f t="shared" si="3"/>
        <v>10.82</v>
      </c>
      <c r="R25" s="62">
        <f t="shared" si="4"/>
        <v>10.82</v>
      </c>
      <c r="S25" s="43">
        <v>0</v>
      </c>
      <c r="T25" s="43">
        <f t="shared" si="5"/>
        <v>275.0444</v>
      </c>
      <c r="U25" s="43">
        <f t="shared" si="6"/>
        <v>1888.9556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44228</v>
      </c>
      <c r="H26" s="40">
        <v>4</v>
      </c>
      <c r="J26" s="15">
        <v>30</v>
      </c>
      <c r="K26" s="38">
        <v>2272.42</v>
      </c>
      <c r="L26" s="62"/>
      <c r="M26" s="43">
        <v>0</v>
      </c>
      <c r="N26" s="62">
        <f t="shared" si="0"/>
        <v>2272.42</v>
      </c>
      <c r="O26" s="62">
        <f t="shared" si="1"/>
        <v>227.24200000000002</v>
      </c>
      <c r="P26" s="62">
        <f t="shared" si="2"/>
        <v>38.858382000000006</v>
      </c>
      <c r="Q26" s="62">
        <f t="shared" si="3"/>
        <v>11.3621</v>
      </c>
      <c r="R26" s="62">
        <f t="shared" si="4"/>
        <v>11.3621</v>
      </c>
      <c r="S26" s="43">
        <v>0</v>
      </c>
      <c r="T26" s="43">
        <f t="shared" si="5"/>
        <v>288.82458200000002</v>
      </c>
      <c r="U26" s="43">
        <f t="shared" si="6"/>
        <v>1983.5954180000001</v>
      </c>
      <c r="V26" s="44"/>
      <c r="X26" s="45"/>
    </row>
    <row r="27" spans="1:24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44228</v>
      </c>
      <c r="H27" s="40">
        <v>6</v>
      </c>
      <c r="J27" s="1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30">
        <v>44228</v>
      </c>
      <c r="H28" s="40">
        <v>5</v>
      </c>
      <c r="J28" s="15">
        <v>30</v>
      </c>
      <c r="K28" s="38">
        <v>2164</v>
      </c>
      <c r="L28" s="62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44228</v>
      </c>
      <c r="H29" s="74">
        <v>5</v>
      </c>
      <c r="J29" s="75">
        <v>30</v>
      </c>
      <c r="K29" s="38">
        <v>2164</v>
      </c>
      <c r="L29" s="62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30">
        <v>44256</v>
      </c>
      <c r="H30" s="40">
        <v>5</v>
      </c>
      <c r="I30" s="76"/>
      <c r="J30" s="75">
        <v>30</v>
      </c>
      <c r="K30" s="68">
        <v>2164</v>
      </c>
      <c r="L30" s="69"/>
      <c r="M30" s="43">
        <v>0</v>
      </c>
      <c r="N30" s="62">
        <f t="shared" si="0"/>
        <v>2164</v>
      </c>
      <c r="O30" s="62">
        <f t="shared" si="1"/>
        <v>216.4</v>
      </c>
      <c r="P30" s="62">
        <f t="shared" si="2"/>
        <v>37.004400000000004</v>
      </c>
      <c r="Q30" s="62">
        <f t="shared" si="3"/>
        <v>10.82</v>
      </c>
      <c r="R30" s="62">
        <f t="shared" si="4"/>
        <v>10.82</v>
      </c>
      <c r="S30" s="43">
        <v>0</v>
      </c>
      <c r="T30" s="43">
        <f t="shared" si="5"/>
        <v>275.0444</v>
      </c>
      <c r="U30" s="43">
        <f t="shared" si="6"/>
        <v>1888.9556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44256</v>
      </c>
      <c r="H31" s="40">
        <v>5</v>
      </c>
      <c r="I31" s="76"/>
      <c r="J31" s="75">
        <v>30</v>
      </c>
      <c r="K31" s="68">
        <v>2164</v>
      </c>
      <c r="L31" s="69"/>
      <c r="M31" s="43">
        <v>0</v>
      </c>
      <c r="N31" s="62">
        <f t="shared" si="0"/>
        <v>2164</v>
      </c>
      <c r="O31" s="62">
        <f t="shared" si="1"/>
        <v>216.4</v>
      </c>
      <c r="P31" s="62">
        <f t="shared" si="2"/>
        <v>37.004400000000004</v>
      </c>
      <c r="Q31" s="62">
        <f t="shared" si="3"/>
        <v>10.82</v>
      </c>
      <c r="R31" s="62">
        <f t="shared" si="4"/>
        <v>10.82</v>
      </c>
      <c r="S31" s="43">
        <v>0</v>
      </c>
      <c r="T31" s="43">
        <f t="shared" si="5"/>
        <v>275.0444</v>
      </c>
      <c r="U31" s="43">
        <f t="shared" si="6"/>
        <v>1888.9556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47328.259999999995</v>
      </c>
      <c r="L32" s="32"/>
      <c r="M32" s="32">
        <f t="shared" ref="M32" si="7">SUM(M14:M29)</f>
        <v>324.60000000000002</v>
      </c>
      <c r="N32" s="32">
        <f>SUM(N11:N31)</f>
        <v>47652.859999999993</v>
      </c>
      <c r="O32" s="32">
        <f>SUM(O11:O31)</f>
        <v>4765.2860000000001</v>
      </c>
      <c r="P32" s="32">
        <f>SUM(P11:P31)</f>
        <v>814.86390600000038</v>
      </c>
      <c r="Q32" s="32">
        <f>SUM(Q11:Q31)</f>
        <v>238.26429999999993</v>
      </c>
      <c r="R32" s="32">
        <f>SUM(R11:R31)</f>
        <v>238.26429999999993</v>
      </c>
      <c r="S32" s="32">
        <f>SUM(S14:S31)</f>
        <v>0</v>
      </c>
      <c r="T32" s="32">
        <f>SUM(T11:T31)</f>
        <v>6056.6785059999975</v>
      </c>
      <c r="U32" s="32">
        <f>SUM(U11:U31)</f>
        <v>41596.181494000011</v>
      </c>
      <c r="V32" s="19"/>
    </row>
    <row r="33" spans="1:22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6056.6785059999975</v>
      </c>
      <c r="U33" s="23"/>
    </row>
    <row r="34" spans="1:22">
      <c r="N34" s="46"/>
    </row>
    <row r="35" spans="1:22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s="18" customFormat="1">
      <c r="A36"/>
      <c r="B36"/>
      <c r="C36"/>
      <c r="D36"/>
      <c r="E36" s="9"/>
      <c r="F36"/>
      <c r="G36"/>
      <c r="H36"/>
      <c r="I36"/>
      <c r="J36"/>
      <c r="K36" t="s">
        <v>127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Hoja11"/>
  <dimension ref="A1:AB29"/>
  <sheetViews>
    <sheetView topLeftCell="A11" workbookViewId="0">
      <selection activeCell="N27" sqref="N27"/>
    </sheetView>
  </sheetViews>
  <sheetFormatPr baseColWidth="10" defaultRowHeight="15"/>
  <cols>
    <col min="1" max="1" width="2.7109375" customWidth="1"/>
    <col min="2" max="2" width="10.85546875" customWidth="1"/>
    <col min="3" max="3" width="28.42578125" customWidth="1"/>
    <col min="4" max="4" width="11.42578125" hidden="1" customWidth="1"/>
    <col min="5" max="5" width="0.140625" style="9" hidden="1" customWidth="1"/>
    <col min="6" max="6" width="12.28515625" customWidth="1"/>
    <col min="7" max="7" width="9.28515625" customWidth="1"/>
    <col min="8" max="8" width="6.140625" customWidth="1"/>
    <col min="9" max="9" width="0.140625" hidden="1" customWidth="1"/>
    <col min="10" max="10" width="5" customWidth="1"/>
    <col min="11" max="11" width="8.5703125" customWidth="1"/>
    <col min="12" max="12" width="5.7109375" customWidth="1"/>
    <col min="13" max="13" width="7.7109375" customWidth="1"/>
    <col min="14" max="14" width="6.7109375" customWidth="1"/>
    <col min="15" max="15" width="5.85546875" customWidth="1"/>
    <col min="16" max="16" width="7" customWidth="1"/>
    <col min="17" max="17" width="11" customWidth="1"/>
    <col min="18" max="18" width="7.7109375" customWidth="1"/>
    <col min="19" max="19" width="7.85546875" customWidth="1"/>
    <col min="20" max="22" width="6.7109375" customWidth="1"/>
    <col min="23" max="23" width="6.140625" customWidth="1"/>
    <col min="24" max="24" width="7.140625" customWidth="1"/>
    <col min="25" max="25" width="8.140625" customWidth="1"/>
    <col min="26" max="26" width="17.28515625" customWidth="1"/>
    <col min="27" max="28" width="11.42578125" style="18" customWidth="1"/>
  </cols>
  <sheetData>
    <row r="1" spans="1:28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3"/>
      <c r="N1" s="3"/>
      <c r="O1" s="3"/>
      <c r="P1" s="1"/>
      <c r="Q1" s="1"/>
      <c r="R1" s="1"/>
      <c r="S1" s="1"/>
      <c r="T1" s="1"/>
      <c r="U1" s="1"/>
      <c r="V1" s="1"/>
      <c r="W1" s="1"/>
      <c r="X1" s="51"/>
      <c r="Y1" s="1"/>
      <c r="Z1" s="51" t="s">
        <v>33</v>
      </c>
      <c r="AA1" s="51"/>
    </row>
    <row r="2" spans="1:28">
      <c r="A2" s="2" t="s">
        <v>0</v>
      </c>
      <c r="B2" s="1"/>
      <c r="C2" s="1"/>
      <c r="D2" s="1"/>
      <c r="E2" s="4"/>
      <c r="F2" s="81"/>
      <c r="G2" s="1"/>
      <c r="H2" s="1"/>
      <c r="I2" s="1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51"/>
      <c r="Y2" s="51"/>
      <c r="Z2" s="51"/>
      <c r="AA2" s="17"/>
    </row>
    <row r="3" spans="1:28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2"/>
      <c r="Y3" s="1"/>
      <c r="Z3" s="1"/>
      <c r="AA3" s="17"/>
    </row>
    <row r="4" spans="1:28" s="26" customFormat="1" ht="12" customHeight="1">
      <c r="A4" s="237" t="s">
        <v>113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7"/>
      <c r="AB4" s="27"/>
    </row>
    <row r="5" spans="1:28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7"/>
      <c r="AB5" s="27"/>
    </row>
    <row r="6" spans="1:28" s="26" customFormat="1" ht="10.5" customHeight="1">
      <c r="A6" s="237"/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7"/>
      <c r="AB6" s="27"/>
    </row>
    <row r="7" spans="1:28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6"/>
      <c r="Q7" s="6"/>
      <c r="R7" s="6"/>
      <c r="S7" s="4"/>
      <c r="T7" s="4"/>
      <c r="U7" s="4"/>
      <c r="V7" s="4"/>
      <c r="W7" s="4"/>
      <c r="X7" s="4"/>
      <c r="AA7" s="7">
        <v>42399</v>
      </c>
      <c r="AB7" s="8">
        <v>1656</v>
      </c>
    </row>
    <row r="8" spans="1:28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47"/>
      <c r="N8" s="47"/>
      <c r="O8" s="47"/>
      <c r="P8" s="234" t="s">
        <v>11</v>
      </c>
      <c r="Q8" s="77" t="s">
        <v>118</v>
      </c>
      <c r="R8" s="234" t="s">
        <v>126</v>
      </c>
      <c r="S8" s="231" t="s">
        <v>13</v>
      </c>
      <c r="T8" s="232"/>
      <c r="U8" s="232"/>
      <c r="V8" s="232"/>
      <c r="W8" s="233"/>
      <c r="X8" s="234" t="s">
        <v>75</v>
      </c>
      <c r="Y8" s="234" t="s">
        <v>27</v>
      </c>
      <c r="Z8" s="234" t="s">
        <v>14</v>
      </c>
    </row>
    <row r="9" spans="1:28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114</v>
      </c>
      <c r="M9" s="48" t="s">
        <v>115</v>
      </c>
      <c r="N9" s="48" t="s">
        <v>116</v>
      </c>
      <c r="O9" s="48" t="s">
        <v>117</v>
      </c>
      <c r="P9" s="235"/>
      <c r="Q9" s="78" t="s">
        <v>11</v>
      </c>
      <c r="R9" s="235"/>
      <c r="S9" s="25" t="s">
        <v>26</v>
      </c>
      <c r="T9" s="24" t="s">
        <v>25</v>
      </c>
      <c r="U9" s="24" t="s">
        <v>23</v>
      </c>
      <c r="V9" s="24" t="s">
        <v>24</v>
      </c>
      <c r="W9" s="25" t="s">
        <v>16</v>
      </c>
      <c r="X9" s="235"/>
      <c r="Y9" s="235"/>
      <c r="Z9" s="235"/>
    </row>
    <row r="10" spans="1:28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80">
        <v>2021</v>
      </c>
      <c r="M10" s="80">
        <v>2021</v>
      </c>
      <c r="N10" s="80">
        <v>2021</v>
      </c>
      <c r="O10" s="80">
        <v>2021</v>
      </c>
      <c r="P10" s="236"/>
      <c r="Q10" s="79" t="s">
        <v>119</v>
      </c>
      <c r="R10" s="236"/>
      <c r="S10" s="11">
        <v>0.1</v>
      </c>
      <c r="T10" s="10">
        <v>1.7100000000000001E-2</v>
      </c>
      <c r="U10" s="12">
        <v>5.0000000000000001E-3</v>
      </c>
      <c r="V10" s="13">
        <v>5.0000000000000001E-3</v>
      </c>
      <c r="W10" s="11">
        <v>0.13</v>
      </c>
      <c r="X10" s="236"/>
      <c r="Y10" s="236"/>
      <c r="Z10" s="236"/>
    </row>
    <row r="11" spans="1:28" ht="22.5" customHeight="1">
      <c r="A11" s="57">
        <v>1</v>
      </c>
      <c r="B11" s="56" t="s">
        <v>99</v>
      </c>
      <c r="C11" s="66" t="s">
        <v>121</v>
      </c>
      <c r="D11" s="55"/>
      <c r="E11" s="55"/>
      <c r="F11" s="82" t="s">
        <v>100</v>
      </c>
      <c r="G11" s="84">
        <v>44228</v>
      </c>
      <c r="H11" s="97">
        <v>6</v>
      </c>
      <c r="I11" s="98"/>
      <c r="J11" s="99">
        <v>30</v>
      </c>
      <c r="K11" s="61">
        <v>2122</v>
      </c>
      <c r="L11" s="88"/>
      <c r="M11" s="88">
        <v>42</v>
      </c>
      <c r="N11" s="88">
        <v>42</v>
      </c>
      <c r="O11" s="88">
        <v>42</v>
      </c>
      <c r="P11" s="96">
        <v>0</v>
      </c>
      <c r="Q11" s="43"/>
      <c r="R11" s="62">
        <f>L11+M11+N11+O11+Q11</f>
        <v>126</v>
      </c>
      <c r="S11" s="62">
        <f t="shared" ref="S11:S24" si="0">+R11*0.1</f>
        <v>12.600000000000001</v>
      </c>
      <c r="T11" s="62">
        <f t="shared" ref="T11:T24" si="1">+R11*0.0171</f>
        <v>2.1546000000000003</v>
      </c>
      <c r="U11" s="62">
        <f t="shared" ref="U11:U24" si="2">+R11*0.005</f>
        <v>0.63</v>
      </c>
      <c r="V11" s="62">
        <f t="shared" ref="V11:V24" si="3">R11*0.5%</f>
        <v>0.63</v>
      </c>
      <c r="W11" s="43">
        <v>0</v>
      </c>
      <c r="X11" s="43">
        <f t="shared" ref="X11:X24" si="4">+S11+T11+U11+V11+W11</f>
        <v>16.014600000000002</v>
      </c>
      <c r="Y11" s="43">
        <f t="shared" ref="Y11:Y24" si="5">+R11-X11</f>
        <v>109.9854</v>
      </c>
      <c r="Z11" s="55"/>
    </row>
    <row r="12" spans="1:28" ht="22.5" customHeight="1">
      <c r="A12" s="57">
        <v>2</v>
      </c>
      <c r="B12" s="41" t="s">
        <v>67</v>
      </c>
      <c r="C12" s="41" t="s">
        <v>68</v>
      </c>
      <c r="D12" s="42"/>
      <c r="E12" s="14"/>
      <c r="F12" s="83" t="s">
        <v>32</v>
      </c>
      <c r="G12" s="84">
        <v>44228</v>
      </c>
      <c r="H12" s="100">
        <v>5</v>
      </c>
      <c r="I12" s="101"/>
      <c r="J12" s="97">
        <v>30</v>
      </c>
      <c r="K12" s="62">
        <v>2122</v>
      </c>
      <c r="L12" s="89"/>
      <c r="M12" s="89">
        <v>42</v>
      </c>
      <c r="N12" s="89">
        <v>42</v>
      </c>
      <c r="O12" s="90">
        <v>42</v>
      </c>
      <c r="P12" s="96">
        <v>0</v>
      </c>
      <c r="Q12" s="43"/>
      <c r="R12" s="62">
        <f t="shared" ref="R12:R24" si="6">L12+M12+N12+O12+Q12</f>
        <v>126</v>
      </c>
      <c r="S12" s="62">
        <f t="shared" si="0"/>
        <v>12.600000000000001</v>
      </c>
      <c r="T12" s="62">
        <f t="shared" si="1"/>
        <v>2.1546000000000003</v>
      </c>
      <c r="U12" s="62">
        <f t="shared" si="2"/>
        <v>0.63</v>
      </c>
      <c r="V12" s="62">
        <f t="shared" si="3"/>
        <v>0.63</v>
      </c>
      <c r="W12" s="43">
        <v>0</v>
      </c>
      <c r="X12" s="43">
        <f t="shared" si="4"/>
        <v>16.014600000000002</v>
      </c>
      <c r="Y12" s="43">
        <f t="shared" si="5"/>
        <v>109.9854</v>
      </c>
      <c r="Z12" s="55"/>
    </row>
    <row r="13" spans="1:28" ht="22.5" customHeight="1">
      <c r="A13" s="57">
        <v>3</v>
      </c>
      <c r="B13" s="41" t="s">
        <v>101</v>
      </c>
      <c r="C13" s="41" t="s">
        <v>102</v>
      </c>
      <c r="D13" s="42"/>
      <c r="E13" s="14"/>
      <c r="F13" s="83" t="s">
        <v>103</v>
      </c>
      <c r="G13" s="84">
        <v>44228</v>
      </c>
      <c r="H13" s="102">
        <v>6</v>
      </c>
      <c r="I13" s="103"/>
      <c r="J13" s="104">
        <v>30</v>
      </c>
      <c r="K13" s="38">
        <v>2122</v>
      </c>
      <c r="L13" s="92"/>
      <c r="M13" s="92">
        <v>42</v>
      </c>
      <c r="N13" s="92">
        <v>42</v>
      </c>
      <c r="O13" s="91">
        <v>42</v>
      </c>
      <c r="P13" s="96">
        <v>0</v>
      </c>
      <c r="Q13" s="43"/>
      <c r="R13" s="62">
        <f t="shared" si="6"/>
        <v>126</v>
      </c>
      <c r="S13" s="62">
        <f t="shared" si="0"/>
        <v>12.600000000000001</v>
      </c>
      <c r="T13" s="62">
        <f t="shared" si="1"/>
        <v>2.1546000000000003</v>
      </c>
      <c r="U13" s="62">
        <f t="shared" si="2"/>
        <v>0.63</v>
      </c>
      <c r="V13" s="62">
        <f t="shared" si="3"/>
        <v>0.63</v>
      </c>
      <c r="W13" s="43">
        <v>0</v>
      </c>
      <c r="X13" s="43">
        <f t="shared" si="4"/>
        <v>16.014600000000002</v>
      </c>
      <c r="Y13" s="43">
        <f t="shared" si="5"/>
        <v>109.9854</v>
      </c>
      <c r="Z13" s="44"/>
      <c r="AB13" s="45"/>
    </row>
    <row r="14" spans="1:28" ht="22.5" customHeight="1">
      <c r="A14" s="57">
        <v>4</v>
      </c>
      <c r="B14" s="41" t="s">
        <v>105</v>
      </c>
      <c r="C14" s="41" t="s">
        <v>104</v>
      </c>
      <c r="D14" s="42"/>
      <c r="E14" s="14"/>
      <c r="F14" s="83" t="s">
        <v>32</v>
      </c>
      <c r="G14" s="84">
        <v>44228</v>
      </c>
      <c r="H14" s="102">
        <v>5</v>
      </c>
      <c r="I14" s="103"/>
      <c r="J14" s="104">
        <v>30</v>
      </c>
      <c r="K14" s="38">
        <v>2122</v>
      </c>
      <c r="L14" s="92"/>
      <c r="M14" s="92">
        <v>42</v>
      </c>
      <c r="N14" s="92">
        <v>42</v>
      </c>
      <c r="O14" s="91">
        <v>42</v>
      </c>
      <c r="P14" s="96">
        <v>0</v>
      </c>
      <c r="Q14" s="43"/>
      <c r="R14" s="62">
        <f t="shared" si="6"/>
        <v>126</v>
      </c>
      <c r="S14" s="62">
        <f t="shared" si="0"/>
        <v>12.600000000000001</v>
      </c>
      <c r="T14" s="62">
        <f t="shared" si="1"/>
        <v>2.1546000000000003</v>
      </c>
      <c r="U14" s="62">
        <f t="shared" si="2"/>
        <v>0.63</v>
      </c>
      <c r="V14" s="62">
        <f t="shared" si="3"/>
        <v>0.63</v>
      </c>
      <c r="W14" s="43">
        <v>0</v>
      </c>
      <c r="X14" s="43">
        <f t="shared" si="4"/>
        <v>16.014600000000002</v>
      </c>
      <c r="Y14" s="43">
        <f t="shared" si="5"/>
        <v>109.9854</v>
      </c>
      <c r="Z14" s="44"/>
      <c r="AB14" s="45"/>
    </row>
    <row r="15" spans="1:28" ht="22.5" customHeight="1">
      <c r="A15" s="57">
        <v>5</v>
      </c>
      <c r="B15" s="41" t="s">
        <v>69</v>
      </c>
      <c r="C15" s="41" t="s">
        <v>70</v>
      </c>
      <c r="D15" s="42"/>
      <c r="E15" s="14"/>
      <c r="F15" s="83" t="s">
        <v>71</v>
      </c>
      <c r="G15" s="84">
        <v>44212</v>
      </c>
      <c r="H15" s="100">
        <v>6</v>
      </c>
      <c r="I15" s="101"/>
      <c r="J15" s="97">
        <v>30</v>
      </c>
      <c r="K15" s="62">
        <v>2122</v>
      </c>
      <c r="L15" s="91">
        <v>21</v>
      </c>
      <c r="M15" s="91">
        <v>42</v>
      </c>
      <c r="N15" s="91">
        <v>42</v>
      </c>
      <c r="O15" s="91">
        <v>42</v>
      </c>
      <c r="P15" s="96">
        <v>0</v>
      </c>
      <c r="Q15" s="43"/>
      <c r="R15" s="62">
        <f t="shared" si="6"/>
        <v>147</v>
      </c>
      <c r="S15" s="62">
        <f t="shared" si="0"/>
        <v>14.700000000000001</v>
      </c>
      <c r="T15" s="62">
        <f t="shared" si="1"/>
        <v>2.5137</v>
      </c>
      <c r="U15" s="62">
        <f t="shared" si="2"/>
        <v>0.73499999999999999</v>
      </c>
      <c r="V15" s="62">
        <f t="shared" si="3"/>
        <v>0.73499999999999999</v>
      </c>
      <c r="W15" s="43">
        <v>0</v>
      </c>
      <c r="X15" s="43">
        <f t="shared" si="4"/>
        <v>18.683700000000002</v>
      </c>
      <c r="Y15" s="43">
        <f t="shared" si="5"/>
        <v>128.31630000000001</v>
      </c>
      <c r="Z15" s="44"/>
      <c r="AB15" s="45"/>
    </row>
    <row r="16" spans="1:28" ht="22.5" customHeight="1">
      <c r="A16" s="57">
        <v>6</v>
      </c>
      <c r="B16" s="21" t="s">
        <v>85</v>
      </c>
      <c r="C16" s="21" t="s">
        <v>86</v>
      </c>
      <c r="D16" s="20"/>
      <c r="E16" s="22" t="s">
        <v>40</v>
      </c>
      <c r="F16" s="84" t="s">
        <v>40</v>
      </c>
      <c r="G16" s="84">
        <v>44197</v>
      </c>
      <c r="H16" s="97">
        <v>5</v>
      </c>
      <c r="I16" s="96">
        <v>2122</v>
      </c>
      <c r="J16" s="97">
        <v>30</v>
      </c>
      <c r="K16" s="62">
        <v>2122</v>
      </c>
      <c r="L16" s="91">
        <v>42</v>
      </c>
      <c r="M16" s="91">
        <v>42</v>
      </c>
      <c r="N16" s="91">
        <v>42</v>
      </c>
      <c r="O16" s="91">
        <v>42</v>
      </c>
      <c r="P16" s="96">
        <v>0</v>
      </c>
      <c r="Q16" s="43"/>
      <c r="R16" s="62">
        <f t="shared" si="6"/>
        <v>168</v>
      </c>
      <c r="S16" s="62">
        <f t="shared" si="0"/>
        <v>16.8</v>
      </c>
      <c r="T16" s="62">
        <f t="shared" si="1"/>
        <v>2.8728000000000002</v>
      </c>
      <c r="U16" s="62">
        <f t="shared" si="2"/>
        <v>0.84</v>
      </c>
      <c r="V16" s="62">
        <f t="shared" si="3"/>
        <v>0.84</v>
      </c>
      <c r="W16" s="43">
        <v>0</v>
      </c>
      <c r="X16" s="43">
        <f t="shared" si="4"/>
        <v>21.352800000000002</v>
      </c>
      <c r="Y16" s="43">
        <f t="shared" si="5"/>
        <v>146.6472</v>
      </c>
      <c r="Z16" s="44"/>
      <c r="AB16" s="45"/>
    </row>
    <row r="17" spans="1:28" ht="22.5" customHeight="1">
      <c r="A17" s="57">
        <v>7</v>
      </c>
      <c r="B17" s="41" t="s">
        <v>45</v>
      </c>
      <c r="C17" s="41" t="s">
        <v>46</v>
      </c>
      <c r="D17" s="42"/>
      <c r="E17" s="14"/>
      <c r="F17" s="83" t="s">
        <v>47</v>
      </c>
      <c r="G17" s="84">
        <v>43101</v>
      </c>
      <c r="H17" s="100">
        <v>6</v>
      </c>
      <c r="I17" s="101"/>
      <c r="J17" s="97">
        <v>30</v>
      </c>
      <c r="K17" s="62">
        <v>2142.4</v>
      </c>
      <c r="L17" s="91">
        <v>21.6</v>
      </c>
      <c r="M17" s="91">
        <v>21.6</v>
      </c>
      <c r="N17" s="91">
        <v>21.6</v>
      </c>
      <c r="O17" s="91">
        <v>21.6</v>
      </c>
      <c r="P17" s="96">
        <v>318.3</v>
      </c>
      <c r="Q17" s="43">
        <v>25.2</v>
      </c>
      <c r="R17" s="62">
        <f t="shared" si="6"/>
        <v>111.60000000000001</v>
      </c>
      <c r="S17" s="62">
        <f t="shared" si="0"/>
        <v>11.160000000000002</v>
      </c>
      <c r="T17" s="62">
        <f t="shared" si="1"/>
        <v>1.9083600000000003</v>
      </c>
      <c r="U17" s="62">
        <f t="shared" si="2"/>
        <v>0.55800000000000005</v>
      </c>
      <c r="V17" s="62">
        <f t="shared" si="3"/>
        <v>0.55800000000000005</v>
      </c>
      <c r="W17" s="43">
        <v>0</v>
      </c>
      <c r="X17" s="43">
        <f t="shared" si="4"/>
        <v>14.184360000000002</v>
      </c>
      <c r="Y17" s="43">
        <f t="shared" si="5"/>
        <v>97.41564000000001</v>
      </c>
      <c r="Z17" s="44"/>
      <c r="AB17" s="45"/>
    </row>
    <row r="18" spans="1:28" ht="22.5" customHeight="1">
      <c r="A18" s="57">
        <v>8</v>
      </c>
      <c r="B18" s="21" t="s">
        <v>96</v>
      </c>
      <c r="C18" s="21" t="s">
        <v>97</v>
      </c>
      <c r="D18" s="20"/>
      <c r="E18" s="22" t="s">
        <v>40</v>
      </c>
      <c r="F18" s="83" t="s">
        <v>40</v>
      </c>
      <c r="G18" s="84">
        <v>44197</v>
      </c>
      <c r="H18" s="100">
        <v>5</v>
      </c>
      <c r="I18" s="101"/>
      <c r="J18" s="97">
        <v>30</v>
      </c>
      <c r="K18" s="62">
        <v>2122</v>
      </c>
      <c r="L18" s="91">
        <v>42</v>
      </c>
      <c r="M18" s="91">
        <v>42</v>
      </c>
      <c r="N18" s="91">
        <v>42</v>
      </c>
      <c r="O18" s="91">
        <v>42</v>
      </c>
      <c r="P18" s="96">
        <v>0</v>
      </c>
      <c r="Q18" s="43"/>
      <c r="R18" s="62">
        <f t="shared" si="6"/>
        <v>168</v>
      </c>
      <c r="S18" s="62">
        <f t="shared" si="0"/>
        <v>16.8</v>
      </c>
      <c r="T18" s="62">
        <f t="shared" si="1"/>
        <v>2.8728000000000002</v>
      </c>
      <c r="U18" s="62">
        <f t="shared" si="2"/>
        <v>0.84</v>
      </c>
      <c r="V18" s="62">
        <f t="shared" si="3"/>
        <v>0.84</v>
      </c>
      <c r="W18" s="43">
        <v>0</v>
      </c>
      <c r="X18" s="43">
        <f t="shared" si="4"/>
        <v>21.352800000000002</v>
      </c>
      <c r="Y18" s="43">
        <f t="shared" si="5"/>
        <v>146.6472</v>
      </c>
      <c r="Z18" s="44"/>
      <c r="AB18" s="45"/>
    </row>
    <row r="19" spans="1:28" ht="22.5" customHeight="1">
      <c r="A19" s="57">
        <v>9</v>
      </c>
      <c r="B19" s="41" t="s">
        <v>82</v>
      </c>
      <c r="C19" s="41" t="s">
        <v>83</v>
      </c>
      <c r="D19" s="42"/>
      <c r="E19" s="14"/>
      <c r="F19" s="83" t="s">
        <v>36</v>
      </c>
      <c r="G19" s="84">
        <v>44228</v>
      </c>
      <c r="H19" s="102">
        <v>4</v>
      </c>
      <c r="I19" s="103"/>
      <c r="J19" s="104">
        <v>30</v>
      </c>
      <c r="K19" s="38">
        <v>2122</v>
      </c>
      <c r="L19" s="92"/>
      <c r="M19" s="92">
        <v>42</v>
      </c>
      <c r="N19" s="92">
        <v>42</v>
      </c>
      <c r="O19" s="91">
        <v>42</v>
      </c>
      <c r="P19" s="96">
        <v>0</v>
      </c>
      <c r="Q19" s="43"/>
      <c r="R19" s="62">
        <f t="shared" si="6"/>
        <v>126</v>
      </c>
      <c r="S19" s="62">
        <f t="shared" si="0"/>
        <v>12.600000000000001</v>
      </c>
      <c r="T19" s="62">
        <f t="shared" si="1"/>
        <v>2.1546000000000003</v>
      </c>
      <c r="U19" s="62">
        <f t="shared" si="2"/>
        <v>0.63</v>
      </c>
      <c r="V19" s="62">
        <f t="shared" si="3"/>
        <v>0.63</v>
      </c>
      <c r="W19" s="43">
        <v>0</v>
      </c>
      <c r="X19" s="43">
        <f t="shared" si="4"/>
        <v>16.014600000000002</v>
      </c>
      <c r="Y19" s="43">
        <f t="shared" si="5"/>
        <v>109.9854</v>
      </c>
      <c r="Z19" s="44"/>
      <c r="AB19" s="45"/>
    </row>
    <row r="20" spans="1:28" ht="22.5" customHeight="1">
      <c r="A20" s="57">
        <v>10</v>
      </c>
      <c r="B20" s="41" t="s">
        <v>41</v>
      </c>
      <c r="C20" s="41" t="s">
        <v>72</v>
      </c>
      <c r="D20" s="42"/>
      <c r="E20" s="14"/>
      <c r="F20" s="83" t="s">
        <v>73</v>
      </c>
      <c r="G20" s="84">
        <v>44228</v>
      </c>
      <c r="H20" s="102">
        <v>6</v>
      </c>
      <c r="I20" s="103"/>
      <c r="J20" s="104">
        <v>30</v>
      </c>
      <c r="K20" s="38">
        <v>2122</v>
      </c>
      <c r="L20" s="92"/>
      <c r="M20" s="92">
        <v>42</v>
      </c>
      <c r="N20" s="92">
        <v>42</v>
      </c>
      <c r="O20" s="91">
        <v>42</v>
      </c>
      <c r="P20" s="96">
        <v>0</v>
      </c>
      <c r="Q20" s="43"/>
      <c r="R20" s="62">
        <f t="shared" si="6"/>
        <v>126</v>
      </c>
      <c r="S20" s="62">
        <f t="shared" si="0"/>
        <v>12.600000000000001</v>
      </c>
      <c r="T20" s="62">
        <f t="shared" si="1"/>
        <v>2.1546000000000003</v>
      </c>
      <c r="U20" s="62">
        <f t="shared" si="2"/>
        <v>0.63</v>
      </c>
      <c r="V20" s="62">
        <f t="shared" si="3"/>
        <v>0.63</v>
      </c>
      <c r="W20" s="43">
        <v>0</v>
      </c>
      <c r="X20" s="43">
        <f t="shared" si="4"/>
        <v>16.014600000000002</v>
      </c>
      <c r="Y20" s="43">
        <f t="shared" si="5"/>
        <v>109.9854</v>
      </c>
      <c r="Z20" s="44"/>
      <c r="AB20" s="45"/>
    </row>
    <row r="21" spans="1:28" ht="22.5" customHeight="1">
      <c r="A21" s="57">
        <v>11</v>
      </c>
      <c r="B21" s="41" t="s">
        <v>77</v>
      </c>
      <c r="C21" s="41" t="s">
        <v>125</v>
      </c>
      <c r="D21" s="42"/>
      <c r="E21" s="14"/>
      <c r="F21" s="83" t="s">
        <v>32</v>
      </c>
      <c r="G21" s="84">
        <v>44228</v>
      </c>
      <c r="H21" s="102">
        <v>5</v>
      </c>
      <c r="I21" s="103"/>
      <c r="J21" s="104">
        <v>30</v>
      </c>
      <c r="K21" s="38">
        <v>2122</v>
      </c>
      <c r="L21" s="92"/>
      <c r="M21" s="92">
        <v>42</v>
      </c>
      <c r="N21" s="92">
        <v>42</v>
      </c>
      <c r="O21" s="91">
        <v>42</v>
      </c>
      <c r="P21" s="96">
        <v>0</v>
      </c>
      <c r="Q21" s="43"/>
      <c r="R21" s="62">
        <f t="shared" si="6"/>
        <v>126</v>
      </c>
      <c r="S21" s="62">
        <f t="shared" si="0"/>
        <v>12.600000000000001</v>
      </c>
      <c r="T21" s="62">
        <f t="shared" si="1"/>
        <v>2.1546000000000003</v>
      </c>
      <c r="U21" s="62">
        <f t="shared" si="2"/>
        <v>0.63</v>
      </c>
      <c r="V21" s="62">
        <f t="shared" si="3"/>
        <v>0.63</v>
      </c>
      <c r="W21" s="43">
        <v>0</v>
      </c>
      <c r="X21" s="43">
        <f t="shared" si="4"/>
        <v>16.014600000000002</v>
      </c>
      <c r="Y21" s="43">
        <f t="shared" si="5"/>
        <v>109.9854</v>
      </c>
      <c r="Z21" s="44"/>
      <c r="AB21" s="45"/>
    </row>
    <row r="22" spans="1:28" ht="22.5" customHeight="1">
      <c r="A22" s="57">
        <v>12</v>
      </c>
      <c r="B22" s="70" t="s">
        <v>50</v>
      </c>
      <c r="C22" s="70" t="s">
        <v>66</v>
      </c>
      <c r="D22" s="71"/>
      <c r="E22" s="72"/>
      <c r="F22" s="85" t="s">
        <v>51</v>
      </c>
      <c r="G22" s="86">
        <v>44228</v>
      </c>
      <c r="H22" s="105">
        <v>5</v>
      </c>
      <c r="I22" s="103"/>
      <c r="J22" s="106">
        <v>30</v>
      </c>
      <c r="K22" s="38">
        <v>2122</v>
      </c>
      <c r="L22" s="92"/>
      <c r="M22" s="92">
        <v>42</v>
      </c>
      <c r="N22" s="92">
        <v>42</v>
      </c>
      <c r="O22" s="91">
        <v>42</v>
      </c>
      <c r="P22" s="96">
        <v>0</v>
      </c>
      <c r="Q22" s="43"/>
      <c r="R22" s="62">
        <f t="shared" si="6"/>
        <v>126</v>
      </c>
      <c r="S22" s="62">
        <f t="shared" si="0"/>
        <v>12.600000000000001</v>
      </c>
      <c r="T22" s="62">
        <f t="shared" si="1"/>
        <v>2.1546000000000003</v>
      </c>
      <c r="U22" s="62">
        <f t="shared" si="2"/>
        <v>0.63</v>
      </c>
      <c r="V22" s="62">
        <f t="shared" si="3"/>
        <v>0.63</v>
      </c>
      <c r="W22" s="43">
        <v>0</v>
      </c>
      <c r="X22" s="43">
        <f t="shared" si="4"/>
        <v>16.014600000000002</v>
      </c>
      <c r="Y22" s="43">
        <f t="shared" si="5"/>
        <v>109.9854</v>
      </c>
      <c r="Z22" s="44"/>
      <c r="AB22" s="45"/>
    </row>
    <row r="23" spans="1:28" ht="22.5" customHeight="1">
      <c r="A23" s="57">
        <v>13</v>
      </c>
      <c r="B23" s="41" t="s">
        <v>43</v>
      </c>
      <c r="C23" s="41" t="s">
        <v>124</v>
      </c>
      <c r="D23" s="42"/>
      <c r="E23" s="14"/>
      <c r="F23" s="83" t="s">
        <v>36</v>
      </c>
      <c r="G23" s="84">
        <v>44256</v>
      </c>
      <c r="H23" s="102">
        <v>5</v>
      </c>
      <c r="I23" s="107"/>
      <c r="J23" s="106">
        <v>30</v>
      </c>
      <c r="K23" s="68">
        <v>2122</v>
      </c>
      <c r="L23" s="93"/>
      <c r="M23" s="93"/>
      <c r="N23" s="93">
        <v>42</v>
      </c>
      <c r="O23" s="94">
        <v>42</v>
      </c>
      <c r="P23" s="96">
        <v>0</v>
      </c>
      <c r="Q23" s="43"/>
      <c r="R23" s="62">
        <f t="shared" si="6"/>
        <v>84</v>
      </c>
      <c r="S23" s="62">
        <f t="shared" si="0"/>
        <v>8.4</v>
      </c>
      <c r="T23" s="62">
        <f t="shared" si="1"/>
        <v>1.4364000000000001</v>
      </c>
      <c r="U23" s="62">
        <f t="shared" si="2"/>
        <v>0.42</v>
      </c>
      <c r="V23" s="62">
        <f t="shared" si="3"/>
        <v>0.42</v>
      </c>
      <c r="W23" s="43">
        <v>0</v>
      </c>
      <c r="X23" s="43">
        <f t="shared" si="4"/>
        <v>10.676400000000001</v>
      </c>
      <c r="Y23" s="43">
        <f t="shared" si="5"/>
        <v>73.323599999999999</v>
      </c>
      <c r="Z23" s="44"/>
      <c r="AB23" s="45"/>
    </row>
    <row r="24" spans="1:28" ht="22.5" customHeight="1">
      <c r="A24" s="57">
        <v>14</v>
      </c>
      <c r="B24" s="41" t="s">
        <v>37</v>
      </c>
      <c r="C24" s="41" t="s">
        <v>38</v>
      </c>
      <c r="D24" s="42"/>
      <c r="E24" s="14"/>
      <c r="F24" s="83" t="s">
        <v>34</v>
      </c>
      <c r="G24" s="84">
        <v>44256</v>
      </c>
      <c r="H24" s="102">
        <v>5</v>
      </c>
      <c r="I24" s="107"/>
      <c r="J24" s="106">
        <v>30</v>
      </c>
      <c r="K24" s="68">
        <v>2122</v>
      </c>
      <c r="L24" s="93"/>
      <c r="M24" s="93"/>
      <c r="N24" s="93">
        <v>42</v>
      </c>
      <c r="O24" s="94">
        <v>42</v>
      </c>
      <c r="P24" s="96">
        <v>0</v>
      </c>
      <c r="Q24" s="43"/>
      <c r="R24" s="62">
        <f t="shared" si="6"/>
        <v>84</v>
      </c>
      <c r="S24" s="62">
        <f t="shared" si="0"/>
        <v>8.4</v>
      </c>
      <c r="T24" s="62">
        <f t="shared" si="1"/>
        <v>1.4364000000000001</v>
      </c>
      <c r="U24" s="62">
        <f t="shared" si="2"/>
        <v>0.42</v>
      </c>
      <c r="V24" s="62">
        <f t="shared" si="3"/>
        <v>0.42</v>
      </c>
      <c r="W24" s="43">
        <v>0</v>
      </c>
      <c r="X24" s="43">
        <f t="shared" si="4"/>
        <v>10.676400000000001</v>
      </c>
      <c r="Y24" s="43">
        <f t="shared" si="5"/>
        <v>73.323599999999999</v>
      </c>
      <c r="Z24" s="44"/>
      <c r="AB24" s="45"/>
    </row>
    <row r="25" spans="1:28" s="18" customFormat="1" ht="21" customHeight="1">
      <c r="A25" s="33"/>
      <c r="B25" s="34"/>
      <c r="C25" s="35" t="s">
        <v>22</v>
      </c>
      <c r="D25" s="34"/>
      <c r="E25" s="36"/>
      <c r="F25" s="34"/>
      <c r="G25" s="34"/>
      <c r="H25" s="65"/>
      <c r="I25" s="65"/>
      <c r="J25" s="37"/>
      <c r="K25" s="32">
        <f>SUM(K11:K24)</f>
        <v>29728.400000000001</v>
      </c>
      <c r="L25" s="95">
        <f>SUM(L11:L24)</f>
        <v>126.6</v>
      </c>
      <c r="M25" s="95">
        <f>SUM(M11:M24)</f>
        <v>483.6</v>
      </c>
      <c r="N25" s="95">
        <f>SUM(N11:N24)</f>
        <v>567.6</v>
      </c>
      <c r="O25" s="95">
        <f>SUM(O11:O24)</f>
        <v>567.6</v>
      </c>
      <c r="P25" s="95">
        <f>SUM(P13:P22)</f>
        <v>318.3</v>
      </c>
      <c r="Q25" s="32">
        <f t="shared" ref="Q25:V25" si="7">SUM(Q11:Q24)</f>
        <v>25.2</v>
      </c>
      <c r="R25" s="32">
        <f t="shared" si="7"/>
        <v>1770.6</v>
      </c>
      <c r="S25" s="32">
        <f t="shared" si="7"/>
        <v>177.06</v>
      </c>
      <c r="T25" s="32">
        <f t="shared" si="7"/>
        <v>30.277260000000005</v>
      </c>
      <c r="U25" s="32">
        <f t="shared" si="7"/>
        <v>8.8529999999999998</v>
      </c>
      <c r="V25" s="32">
        <f t="shared" si="7"/>
        <v>8.8529999999999998</v>
      </c>
      <c r="W25" s="32">
        <f>SUM(W13:W24)</f>
        <v>0</v>
      </c>
      <c r="X25" s="32">
        <f>SUM(X11:X24)</f>
        <v>225.04326000000003</v>
      </c>
      <c r="Y25" s="32">
        <f>SUM(Y11:Y24)</f>
        <v>1545.55674</v>
      </c>
      <c r="Z25" s="19"/>
    </row>
    <row r="26" spans="1:28" s="18" customFormat="1" ht="9.75" customHeight="1">
      <c r="A26"/>
      <c r="B26"/>
      <c r="C26"/>
      <c r="D26"/>
      <c r="E26" s="9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s="23">
        <f>SUM(X25:X25)</f>
        <v>225.04326000000003</v>
      </c>
      <c r="Y26" s="23"/>
    </row>
    <row r="27" spans="1:28">
      <c r="R27" s="46"/>
    </row>
    <row r="28" spans="1:28" s="18" customFormat="1">
      <c r="A28"/>
      <c r="B28"/>
      <c r="C28"/>
      <c r="D28"/>
      <c r="E28" s="9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8" s="18" customFormat="1">
      <c r="A29"/>
      <c r="B29"/>
      <c r="C29"/>
      <c r="D29"/>
      <c r="E29" s="9"/>
      <c r="F29"/>
      <c r="G29"/>
      <c r="H29"/>
      <c r="I29"/>
      <c r="J29"/>
      <c r="K29" t="s">
        <v>123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</sheetData>
  <mergeCells count="17">
    <mergeCell ref="X8:X10"/>
    <mergeCell ref="Y8:Y10"/>
    <mergeCell ref="A4:Z4"/>
    <mergeCell ref="A5:Z5"/>
    <mergeCell ref="A6:Z6"/>
    <mergeCell ref="A8:A10"/>
    <mergeCell ref="B8:B10"/>
    <mergeCell ref="C8:C10"/>
    <mergeCell ref="D8:D10"/>
    <mergeCell ref="E8:E10"/>
    <mergeCell ref="F8:F10"/>
    <mergeCell ref="G8:G10"/>
    <mergeCell ref="Z8:Z10"/>
    <mergeCell ref="K8:K10"/>
    <mergeCell ref="P8:P10"/>
    <mergeCell ref="R8:R10"/>
    <mergeCell ref="S8:W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Hoja12"/>
  <dimension ref="A1:X35"/>
  <sheetViews>
    <sheetView topLeftCell="A11" workbookViewId="0">
      <selection activeCell="T33" sqref="T33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129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30" si="0">K11+M11</f>
        <v>2164</v>
      </c>
      <c r="O11" s="62">
        <f t="shared" ref="O11:O30" si="1">+N11*0.1</f>
        <v>216.4</v>
      </c>
      <c r="P11" s="62">
        <f t="shared" ref="P11:P30" si="2">+N11*0.0171</f>
        <v>37.004400000000004</v>
      </c>
      <c r="Q11" s="62">
        <f t="shared" ref="Q11:Q30" si="3">+N11*0.005</f>
        <v>10.82</v>
      </c>
      <c r="R11" s="62">
        <f t="shared" ref="R11:R30" si="4">N11*0.5%</f>
        <v>10.82</v>
      </c>
      <c r="S11" s="43">
        <v>0</v>
      </c>
      <c r="T11" s="43">
        <f t="shared" ref="T11:T30" si="5">+O11+P11+Q11+R11+S11</f>
        <v>275.0444</v>
      </c>
      <c r="U11" s="43">
        <f t="shared" ref="U11:U30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101</v>
      </c>
      <c r="C16" s="41" t="s">
        <v>102</v>
      </c>
      <c r="D16" s="42"/>
      <c r="E16" s="14"/>
      <c r="F16" s="41" t="s">
        <v>103</v>
      </c>
      <c r="G16" s="30">
        <v>44228</v>
      </c>
      <c r="H16" s="40">
        <v>6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44228</v>
      </c>
      <c r="H17" s="40">
        <v>5</v>
      </c>
      <c r="J17" s="15">
        <v>30</v>
      </c>
      <c r="K17" s="38">
        <v>2164</v>
      </c>
      <c r="L17" s="62"/>
      <c r="M17" s="43">
        <v>0</v>
      </c>
      <c r="N17" s="62">
        <f t="shared" si="0"/>
        <v>2164</v>
      </c>
      <c r="O17" s="62">
        <f t="shared" si="1"/>
        <v>216.4</v>
      </c>
      <c r="P17" s="62">
        <f t="shared" si="2"/>
        <v>37.004400000000004</v>
      </c>
      <c r="Q17" s="62">
        <f t="shared" si="3"/>
        <v>10.82</v>
      </c>
      <c r="R17" s="62">
        <f t="shared" si="4"/>
        <v>10.82</v>
      </c>
      <c r="S17" s="43">
        <v>0</v>
      </c>
      <c r="T17" s="43">
        <f t="shared" si="5"/>
        <v>275.0444</v>
      </c>
      <c r="U17" s="43">
        <f t="shared" si="6"/>
        <v>1888.9556</v>
      </c>
      <c r="V17" s="44"/>
      <c r="X17" s="45"/>
    </row>
    <row r="18" spans="1:24" ht="22.5" customHeight="1">
      <c r="A18" s="57">
        <v>8</v>
      </c>
      <c r="B18" s="41" t="s">
        <v>69</v>
      </c>
      <c r="C18" s="41" t="s">
        <v>70</v>
      </c>
      <c r="D18" s="42"/>
      <c r="E18" s="14"/>
      <c r="F18" s="41" t="s">
        <v>71</v>
      </c>
      <c r="G18" s="30">
        <v>44212</v>
      </c>
      <c r="H18" s="63">
        <v>6</v>
      </c>
      <c r="I18" s="64"/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44197</v>
      </c>
      <c r="H19" s="14">
        <v>5</v>
      </c>
      <c r="I19" s="43">
        <v>2122</v>
      </c>
      <c r="J19" s="14">
        <v>30</v>
      </c>
      <c r="K19" s="62">
        <v>2164</v>
      </c>
      <c r="L19" s="62"/>
      <c r="M19" s="43">
        <v>0</v>
      </c>
      <c r="N19" s="62">
        <f t="shared" si="0"/>
        <v>2164</v>
      </c>
      <c r="O19" s="62">
        <f t="shared" si="1"/>
        <v>216.4</v>
      </c>
      <c r="P19" s="62">
        <f t="shared" si="2"/>
        <v>37.004400000000004</v>
      </c>
      <c r="Q19" s="62">
        <f t="shared" si="3"/>
        <v>10.82</v>
      </c>
      <c r="R19" s="62">
        <f t="shared" si="4"/>
        <v>10.82</v>
      </c>
      <c r="S19" s="43">
        <v>0</v>
      </c>
      <c r="T19" s="43">
        <f t="shared" si="5"/>
        <v>275.0444</v>
      </c>
      <c r="U19" s="43">
        <f t="shared" si="6"/>
        <v>1888.9556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2164</v>
      </c>
      <c r="L20" s="62"/>
      <c r="M20" s="43">
        <v>324.60000000000002</v>
      </c>
      <c r="N20" s="62">
        <f t="shared" si="0"/>
        <v>2488.6</v>
      </c>
      <c r="O20" s="62">
        <f t="shared" si="1"/>
        <v>248.86</v>
      </c>
      <c r="P20" s="62">
        <f t="shared" si="2"/>
        <v>42.555059999999997</v>
      </c>
      <c r="Q20" s="62">
        <f t="shared" si="3"/>
        <v>12.443</v>
      </c>
      <c r="R20" s="62">
        <f t="shared" si="4"/>
        <v>12.443</v>
      </c>
      <c r="S20" s="43">
        <v>0</v>
      </c>
      <c r="T20" s="43">
        <f t="shared" si="5"/>
        <v>316.30106000000001</v>
      </c>
      <c r="U20" s="43">
        <f t="shared" si="6"/>
        <v>2172.2989399999997</v>
      </c>
      <c r="V20" s="44"/>
      <c r="X20" s="45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44228</v>
      </c>
      <c r="H21" s="40">
        <v>5</v>
      </c>
      <c r="J21" s="15">
        <v>30</v>
      </c>
      <c r="K21" s="38">
        <v>2348</v>
      </c>
      <c r="L21" s="62"/>
      <c r="M21" s="43">
        <v>0</v>
      </c>
      <c r="N21" s="62">
        <f t="shared" si="0"/>
        <v>2348</v>
      </c>
      <c r="O21" s="62">
        <f t="shared" si="1"/>
        <v>234.8</v>
      </c>
      <c r="P21" s="62">
        <f t="shared" si="2"/>
        <v>40.150800000000004</v>
      </c>
      <c r="Q21" s="62">
        <f t="shared" si="3"/>
        <v>11.74</v>
      </c>
      <c r="R21" s="62">
        <f t="shared" si="4"/>
        <v>11.74</v>
      </c>
      <c r="S21" s="43">
        <v>0</v>
      </c>
      <c r="T21" s="43">
        <f t="shared" si="5"/>
        <v>298.43080000000003</v>
      </c>
      <c r="U21" s="43">
        <f t="shared" si="6"/>
        <v>2049.5691999999999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44256</v>
      </c>
      <c r="H22" s="40">
        <v>6</v>
      </c>
      <c r="J22" s="15">
        <v>30</v>
      </c>
      <c r="K22" s="38">
        <v>2291.21</v>
      </c>
      <c r="L22" s="62"/>
      <c r="M22" s="43">
        <v>0</v>
      </c>
      <c r="N22" s="62">
        <f t="shared" si="0"/>
        <v>2291.21</v>
      </c>
      <c r="O22" s="62">
        <f t="shared" si="1"/>
        <v>229.12100000000001</v>
      </c>
      <c r="P22" s="62">
        <f t="shared" si="2"/>
        <v>39.179691000000005</v>
      </c>
      <c r="Q22" s="62">
        <f t="shared" si="3"/>
        <v>11.456050000000001</v>
      </c>
      <c r="R22" s="62">
        <f t="shared" si="4"/>
        <v>11.456050000000001</v>
      </c>
      <c r="S22" s="43">
        <v>0</v>
      </c>
      <c r="T22" s="43">
        <f t="shared" si="5"/>
        <v>291.21279100000004</v>
      </c>
      <c r="U22" s="43">
        <f t="shared" si="6"/>
        <v>1999.9972090000001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44197</v>
      </c>
      <c r="H23" s="63">
        <v>5</v>
      </c>
      <c r="I23" s="64"/>
      <c r="J23" s="14">
        <v>30</v>
      </c>
      <c r="K23" s="62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2164</v>
      </c>
      <c r="L24" s="62"/>
      <c r="M24" s="43">
        <v>0</v>
      </c>
      <c r="N24" s="62">
        <f t="shared" si="0"/>
        <v>2164</v>
      </c>
      <c r="O24" s="62">
        <f t="shared" si="1"/>
        <v>216.4</v>
      </c>
      <c r="P24" s="62">
        <f t="shared" si="2"/>
        <v>37.004400000000004</v>
      </c>
      <c r="Q24" s="62">
        <f t="shared" si="3"/>
        <v>10.82</v>
      </c>
      <c r="R24" s="62">
        <f t="shared" si="4"/>
        <v>10.82</v>
      </c>
      <c r="S24" s="43">
        <v>0</v>
      </c>
      <c r="T24" s="43">
        <f t="shared" si="5"/>
        <v>275.0444</v>
      </c>
      <c r="U24" s="43">
        <f t="shared" si="6"/>
        <v>1888.9556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44228</v>
      </c>
      <c r="H25" s="40">
        <v>4</v>
      </c>
      <c r="J25" s="15">
        <v>30</v>
      </c>
      <c r="K25" s="38">
        <v>2272.42</v>
      </c>
      <c r="L25" s="62"/>
      <c r="M25" s="43">
        <v>0</v>
      </c>
      <c r="N25" s="62">
        <f t="shared" si="0"/>
        <v>2272.42</v>
      </c>
      <c r="O25" s="62">
        <f t="shared" si="1"/>
        <v>227.24200000000002</v>
      </c>
      <c r="P25" s="62">
        <f t="shared" si="2"/>
        <v>38.858382000000006</v>
      </c>
      <c r="Q25" s="62">
        <f t="shared" si="3"/>
        <v>11.3621</v>
      </c>
      <c r="R25" s="62">
        <f t="shared" si="4"/>
        <v>11.3621</v>
      </c>
      <c r="S25" s="43">
        <v>0</v>
      </c>
      <c r="T25" s="43">
        <f t="shared" si="5"/>
        <v>288.82458200000002</v>
      </c>
      <c r="U25" s="43">
        <f t="shared" si="6"/>
        <v>1983.5954180000001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44228</v>
      </c>
      <c r="H26" s="40">
        <v>6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44228</v>
      </c>
      <c r="H27" s="40">
        <v>5</v>
      </c>
      <c r="J27" s="1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44228</v>
      </c>
      <c r="H28" s="74">
        <v>5</v>
      </c>
      <c r="J28" s="75">
        <v>30</v>
      </c>
      <c r="K28" s="38">
        <v>2164</v>
      </c>
      <c r="L28" s="62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44256</v>
      </c>
      <c r="H30" s="40">
        <v>5</v>
      </c>
      <c r="I30" s="76"/>
      <c r="J30" s="75">
        <v>30</v>
      </c>
      <c r="K30" s="68">
        <v>2164</v>
      </c>
      <c r="L30" s="69"/>
      <c r="M30" s="43">
        <v>0</v>
      </c>
      <c r="N30" s="62">
        <f t="shared" si="0"/>
        <v>2164</v>
      </c>
      <c r="O30" s="62">
        <f t="shared" si="1"/>
        <v>216.4</v>
      </c>
      <c r="P30" s="62">
        <f t="shared" si="2"/>
        <v>37.004400000000004</v>
      </c>
      <c r="Q30" s="62">
        <f t="shared" si="3"/>
        <v>10.82</v>
      </c>
      <c r="R30" s="62">
        <f t="shared" si="4"/>
        <v>10.82</v>
      </c>
      <c r="S30" s="43">
        <v>0</v>
      </c>
      <c r="T30" s="43">
        <f t="shared" si="5"/>
        <v>275.0444</v>
      </c>
      <c r="U30" s="43">
        <f t="shared" si="6"/>
        <v>1888.9556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46182.659999999996</v>
      </c>
      <c r="L31" s="32"/>
      <c r="M31" s="32">
        <f t="shared" ref="M31" si="7">SUM(M14:M28)</f>
        <v>324.60000000000002</v>
      </c>
      <c r="N31" s="32">
        <f>SUM(N11:N30)</f>
        <v>46507.259999999995</v>
      </c>
      <c r="O31" s="32">
        <f>SUM(O11:O30)</f>
        <v>4650.7260000000006</v>
      </c>
      <c r="P31" s="32">
        <f>SUM(P11:P30)</f>
        <v>795.27414600000031</v>
      </c>
      <c r="Q31" s="32">
        <f>SUM(Q11:Q30)</f>
        <v>232.53629999999993</v>
      </c>
      <c r="R31" s="32">
        <f>SUM(R11:R30)</f>
        <v>232.53629999999993</v>
      </c>
      <c r="S31" s="32">
        <f>SUM(S14:S30)</f>
        <v>0</v>
      </c>
      <c r="T31" s="32">
        <f>SUM(T11:T30)</f>
        <v>5911.072745999998</v>
      </c>
      <c r="U31" s="32">
        <f>SUM(U11:U30)</f>
        <v>40596.187254000004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5911.072745999998</v>
      </c>
      <c r="U32" s="23"/>
    </row>
    <row r="33" spans="1:22">
      <c r="N33" s="46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s="18" customFormat="1">
      <c r="A35"/>
      <c r="B35"/>
      <c r="C35"/>
      <c r="D35"/>
      <c r="E35" s="9"/>
      <c r="F35"/>
      <c r="G35"/>
      <c r="H35"/>
      <c r="I35"/>
      <c r="J35"/>
      <c r="K35" t="s">
        <v>130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Hoja13"/>
  <dimension ref="A1:X35"/>
  <sheetViews>
    <sheetView topLeftCell="A23" workbookViewId="0">
      <selection activeCell="J1" sqref="J1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132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30" si="0">K11+M11</f>
        <v>2164</v>
      </c>
      <c r="O11" s="62">
        <f t="shared" ref="O11:O30" si="1">+N11*0.1</f>
        <v>216.4</v>
      </c>
      <c r="P11" s="62">
        <f t="shared" ref="P11:P30" si="2">+N11*0.0171</f>
        <v>37.004400000000004</v>
      </c>
      <c r="Q11" s="62">
        <f t="shared" ref="Q11:Q30" si="3">+N11*0.005</f>
        <v>10.82</v>
      </c>
      <c r="R11" s="62">
        <f t="shared" ref="R11:R30" si="4">N11*0.5%</f>
        <v>10.82</v>
      </c>
      <c r="S11" s="43">
        <v>0</v>
      </c>
      <c r="T11" s="43">
        <f t="shared" ref="T11:T30" si="5">+O11+P11+Q11+R11+S11</f>
        <v>275.0444</v>
      </c>
      <c r="U11" s="43">
        <f t="shared" ref="U11:U30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101</v>
      </c>
      <c r="C16" s="41" t="s">
        <v>102</v>
      </c>
      <c r="D16" s="42"/>
      <c r="E16" s="14"/>
      <c r="F16" s="41" t="s">
        <v>103</v>
      </c>
      <c r="G16" s="30">
        <v>44228</v>
      </c>
      <c r="H16" s="40">
        <v>6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44228</v>
      </c>
      <c r="H17" s="40">
        <v>5</v>
      </c>
      <c r="J17" s="15">
        <v>30</v>
      </c>
      <c r="K17" s="38">
        <v>2164</v>
      </c>
      <c r="L17" s="62"/>
      <c r="M17" s="43">
        <v>0</v>
      </c>
      <c r="N17" s="62">
        <f t="shared" si="0"/>
        <v>2164</v>
      </c>
      <c r="O17" s="62">
        <f t="shared" si="1"/>
        <v>216.4</v>
      </c>
      <c r="P17" s="62">
        <f t="shared" si="2"/>
        <v>37.004400000000004</v>
      </c>
      <c r="Q17" s="62">
        <f t="shared" si="3"/>
        <v>10.82</v>
      </c>
      <c r="R17" s="62">
        <f t="shared" si="4"/>
        <v>10.82</v>
      </c>
      <c r="S17" s="43">
        <v>0</v>
      </c>
      <c r="T17" s="43">
        <f t="shared" si="5"/>
        <v>275.0444</v>
      </c>
      <c r="U17" s="43">
        <f t="shared" si="6"/>
        <v>1888.9556</v>
      </c>
      <c r="V17" s="44"/>
      <c r="X17" s="45"/>
    </row>
    <row r="18" spans="1:24" ht="22.5" customHeight="1">
      <c r="A18" s="57">
        <v>8</v>
      </c>
      <c r="B18" s="41" t="s">
        <v>69</v>
      </c>
      <c r="C18" s="41" t="s">
        <v>70</v>
      </c>
      <c r="D18" s="42"/>
      <c r="E18" s="14"/>
      <c r="F18" s="41" t="s">
        <v>71</v>
      </c>
      <c r="G18" s="30">
        <v>44212</v>
      </c>
      <c r="H18" s="63">
        <v>6</v>
      </c>
      <c r="I18" s="64"/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44197</v>
      </c>
      <c r="H19" s="14">
        <v>5</v>
      </c>
      <c r="I19" s="43">
        <v>2122</v>
      </c>
      <c r="J19" s="14">
        <v>30</v>
      </c>
      <c r="K19" s="62">
        <v>2164</v>
      </c>
      <c r="L19" s="62"/>
      <c r="M19" s="43">
        <v>0</v>
      </c>
      <c r="N19" s="62">
        <f t="shared" si="0"/>
        <v>2164</v>
      </c>
      <c r="O19" s="62">
        <f t="shared" si="1"/>
        <v>216.4</v>
      </c>
      <c r="P19" s="62">
        <f t="shared" si="2"/>
        <v>37.004400000000004</v>
      </c>
      <c r="Q19" s="62">
        <f t="shared" si="3"/>
        <v>10.82</v>
      </c>
      <c r="R19" s="62">
        <f t="shared" si="4"/>
        <v>10.82</v>
      </c>
      <c r="S19" s="43">
        <v>0</v>
      </c>
      <c r="T19" s="43">
        <f t="shared" si="5"/>
        <v>275.0444</v>
      </c>
      <c r="U19" s="43">
        <f t="shared" si="6"/>
        <v>1888.9556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2164</v>
      </c>
      <c r="L20" s="62"/>
      <c r="M20" s="43">
        <v>324.60000000000002</v>
      </c>
      <c r="N20" s="62">
        <f t="shared" si="0"/>
        <v>2488.6</v>
      </c>
      <c r="O20" s="62">
        <f t="shared" si="1"/>
        <v>248.86</v>
      </c>
      <c r="P20" s="62">
        <f t="shared" si="2"/>
        <v>42.555059999999997</v>
      </c>
      <c r="Q20" s="62">
        <f t="shared" si="3"/>
        <v>12.443</v>
      </c>
      <c r="R20" s="62">
        <f t="shared" si="4"/>
        <v>12.443</v>
      </c>
      <c r="S20" s="43">
        <v>0</v>
      </c>
      <c r="T20" s="43">
        <f t="shared" si="5"/>
        <v>316.30106000000001</v>
      </c>
      <c r="U20" s="43">
        <f t="shared" si="6"/>
        <v>2172.2989399999997</v>
      </c>
      <c r="V20" s="44"/>
      <c r="X20" s="45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44228</v>
      </c>
      <c r="H21" s="40">
        <v>5</v>
      </c>
      <c r="J21" s="15">
        <v>30</v>
      </c>
      <c r="K21" s="38">
        <v>2348</v>
      </c>
      <c r="L21" s="62"/>
      <c r="M21" s="43">
        <v>0</v>
      </c>
      <c r="N21" s="62">
        <f t="shared" si="0"/>
        <v>2348</v>
      </c>
      <c r="O21" s="62">
        <f t="shared" si="1"/>
        <v>234.8</v>
      </c>
      <c r="P21" s="62">
        <f t="shared" si="2"/>
        <v>40.150800000000004</v>
      </c>
      <c r="Q21" s="62">
        <f t="shared" si="3"/>
        <v>11.74</v>
      </c>
      <c r="R21" s="62">
        <f t="shared" si="4"/>
        <v>11.74</v>
      </c>
      <c r="S21" s="43">
        <v>0</v>
      </c>
      <c r="T21" s="43">
        <f t="shared" si="5"/>
        <v>298.43080000000003</v>
      </c>
      <c r="U21" s="43">
        <f t="shared" si="6"/>
        <v>2049.5691999999999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44256</v>
      </c>
      <c r="H22" s="40">
        <v>6</v>
      </c>
      <c r="J22" s="15">
        <v>30</v>
      </c>
      <c r="K22" s="38">
        <v>2291.21</v>
      </c>
      <c r="L22" s="62"/>
      <c r="M22" s="43">
        <v>0</v>
      </c>
      <c r="N22" s="62">
        <f t="shared" si="0"/>
        <v>2291.21</v>
      </c>
      <c r="O22" s="62">
        <f t="shared" si="1"/>
        <v>229.12100000000001</v>
      </c>
      <c r="P22" s="62">
        <f t="shared" si="2"/>
        <v>39.179691000000005</v>
      </c>
      <c r="Q22" s="62">
        <f t="shared" si="3"/>
        <v>11.456050000000001</v>
      </c>
      <c r="R22" s="62">
        <f t="shared" si="4"/>
        <v>11.456050000000001</v>
      </c>
      <c r="S22" s="43">
        <v>0</v>
      </c>
      <c r="T22" s="43">
        <f t="shared" si="5"/>
        <v>291.21279100000004</v>
      </c>
      <c r="U22" s="43">
        <f t="shared" si="6"/>
        <v>1999.9972090000001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44197</v>
      </c>
      <c r="H23" s="63">
        <v>5</v>
      </c>
      <c r="I23" s="64"/>
      <c r="J23" s="14">
        <v>30</v>
      </c>
      <c r="K23" s="62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2164</v>
      </c>
      <c r="L24" s="62"/>
      <c r="M24" s="43">
        <v>0</v>
      </c>
      <c r="N24" s="62">
        <f t="shared" si="0"/>
        <v>2164</v>
      </c>
      <c r="O24" s="62">
        <f t="shared" si="1"/>
        <v>216.4</v>
      </c>
      <c r="P24" s="62">
        <f t="shared" si="2"/>
        <v>37.004400000000004</v>
      </c>
      <c r="Q24" s="62">
        <f t="shared" si="3"/>
        <v>10.82</v>
      </c>
      <c r="R24" s="62">
        <f t="shared" si="4"/>
        <v>10.82</v>
      </c>
      <c r="S24" s="43">
        <v>0</v>
      </c>
      <c r="T24" s="43">
        <f t="shared" si="5"/>
        <v>275.0444</v>
      </c>
      <c r="U24" s="43">
        <f t="shared" si="6"/>
        <v>1888.9556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44228</v>
      </c>
      <c r="H25" s="40">
        <v>4</v>
      </c>
      <c r="J25" s="15">
        <v>30</v>
      </c>
      <c r="K25" s="38">
        <v>2272.42</v>
      </c>
      <c r="L25" s="62"/>
      <c r="M25" s="43">
        <v>0</v>
      </c>
      <c r="N25" s="62">
        <f t="shared" si="0"/>
        <v>2272.42</v>
      </c>
      <c r="O25" s="62">
        <f t="shared" si="1"/>
        <v>227.24200000000002</v>
      </c>
      <c r="P25" s="62">
        <f t="shared" si="2"/>
        <v>38.858382000000006</v>
      </c>
      <c r="Q25" s="62">
        <f t="shared" si="3"/>
        <v>11.3621</v>
      </c>
      <c r="R25" s="62">
        <f t="shared" si="4"/>
        <v>11.3621</v>
      </c>
      <c r="S25" s="43">
        <v>0</v>
      </c>
      <c r="T25" s="43">
        <f t="shared" si="5"/>
        <v>288.82458200000002</v>
      </c>
      <c r="U25" s="43">
        <f t="shared" si="6"/>
        <v>1983.5954180000001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44228</v>
      </c>
      <c r="H26" s="40">
        <v>6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44228</v>
      </c>
      <c r="H27" s="40">
        <v>5</v>
      </c>
      <c r="J27" s="1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44228</v>
      </c>
      <c r="H28" s="74">
        <v>5</v>
      </c>
      <c r="J28" s="75">
        <v>30</v>
      </c>
      <c r="K28" s="38">
        <v>2164</v>
      </c>
      <c r="L28" s="62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44256</v>
      </c>
      <c r="H30" s="40">
        <v>5</v>
      </c>
      <c r="I30" s="76"/>
      <c r="J30" s="75">
        <v>30</v>
      </c>
      <c r="K30" s="68">
        <v>2164</v>
      </c>
      <c r="L30" s="69"/>
      <c r="M30" s="43">
        <v>0</v>
      </c>
      <c r="N30" s="62">
        <f t="shared" si="0"/>
        <v>2164</v>
      </c>
      <c r="O30" s="62">
        <f t="shared" si="1"/>
        <v>216.4</v>
      </c>
      <c r="P30" s="62">
        <f t="shared" si="2"/>
        <v>37.004400000000004</v>
      </c>
      <c r="Q30" s="62">
        <f t="shared" si="3"/>
        <v>10.82</v>
      </c>
      <c r="R30" s="62">
        <f t="shared" si="4"/>
        <v>10.82</v>
      </c>
      <c r="S30" s="43">
        <v>0</v>
      </c>
      <c r="T30" s="43">
        <f t="shared" si="5"/>
        <v>275.0444</v>
      </c>
      <c r="U30" s="43">
        <f t="shared" si="6"/>
        <v>1888.9556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46182.659999999996</v>
      </c>
      <c r="L31" s="32"/>
      <c r="M31" s="32">
        <f t="shared" ref="M31" si="7">SUM(M14:M28)</f>
        <v>324.60000000000002</v>
      </c>
      <c r="N31" s="32">
        <f>SUM(N11:N30)</f>
        <v>46507.259999999995</v>
      </c>
      <c r="O31" s="32">
        <f>SUM(O11:O30)</f>
        <v>4650.7260000000006</v>
      </c>
      <c r="P31" s="32">
        <f>SUM(P11:P30)</f>
        <v>795.27414600000031</v>
      </c>
      <c r="Q31" s="32">
        <f>SUM(Q11:Q30)</f>
        <v>232.53629999999993</v>
      </c>
      <c r="R31" s="32">
        <f>SUM(R11:R30)</f>
        <v>232.53629999999993</v>
      </c>
      <c r="S31" s="32">
        <f>SUM(S14:S30)</f>
        <v>0</v>
      </c>
      <c r="T31" s="32">
        <f>SUM(T11:T30)</f>
        <v>5911.072745999998</v>
      </c>
      <c r="U31" s="32">
        <f>SUM(U11:U30)</f>
        <v>40596.187254000004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5911.072745999998</v>
      </c>
      <c r="U32" s="23"/>
    </row>
    <row r="33" spans="1:22">
      <c r="N33" s="46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s="18" customFormat="1">
      <c r="A35"/>
      <c r="B35"/>
      <c r="C35"/>
      <c r="D35"/>
      <c r="E35" s="9"/>
      <c r="F35"/>
      <c r="G35"/>
      <c r="H35"/>
      <c r="I35"/>
      <c r="J35"/>
      <c r="K35" t="s">
        <v>131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Hoja14"/>
  <dimension ref="A1:X35"/>
  <sheetViews>
    <sheetView topLeftCell="A23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133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30" si="0">K11+M11</f>
        <v>2164</v>
      </c>
      <c r="O11" s="62">
        <f t="shared" ref="O11:O30" si="1">+N11*0.1</f>
        <v>216.4</v>
      </c>
      <c r="P11" s="62">
        <f t="shared" ref="P11:P30" si="2">+N11*0.0171</f>
        <v>37.004400000000004</v>
      </c>
      <c r="Q11" s="62">
        <f t="shared" ref="Q11:Q30" si="3">+N11*0.005</f>
        <v>10.82</v>
      </c>
      <c r="R11" s="62">
        <f t="shared" ref="R11:R30" si="4">N11*0.5%</f>
        <v>10.82</v>
      </c>
      <c r="S11" s="43">
        <v>0</v>
      </c>
      <c r="T11" s="43">
        <f t="shared" ref="T11:T30" si="5">+O11+P11+Q11+R11+S11</f>
        <v>275.0444</v>
      </c>
      <c r="U11" s="43">
        <f t="shared" ref="U11:U30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101</v>
      </c>
      <c r="C16" s="41" t="s">
        <v>102</v>
      </c>
      <c r="D16" s="42"/>
      <c r="E16" s="14"/>
      <c r="F16" s="41" t="s">
        <v>103</v>
      </c>
      <c r="G16" s="30">
        <v>44228</v>
      </c>
      <c r="H16" s="40">
        <v>6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44228</v>
      </c>
      <c r="H17" s="40">
        <v>5</v>
      </c>
      <c r="J17" s="15">
        <v>30</v>
      </c>
      <c r="K17" s="38">
        <v>2164</v>
      </c>
      <c r="L17" s="62"/>
      <c r="M17" s="43">
        <v>0</v>
      </c>
      <c r="N17" s="62">
        <f t="shared" si="0"/>
        <v>2164</v>
      </c>
      <c r="O17" s="62">
        <f t="shared" si="1"/>
        <v>216.4</v>
      </c>
      <c r="P17" s="62">
        <f t="shared" si="2"/>
        <v>37.004400000000004</v>
      </c>
      <c r="Q17" s="62">
        <f t="shared" si="3"/>
        <v>10.82</v>
      </c>
      <c r="R17" s="62">
        <f t="shared" si="4"/>
        <v>10.82</v>
      </c>
      <c r="S17" s="43">
        <v>0</v>
      </c>
      <c r="T17" s="43">
        <f t="shared" si="5"/>
        <v>275.0444</v>
      </c>
      <c r="U17" s="43">
        <f t="shared" si="6"/>
        <v>1888.9556</v>
      </c>
      <c r="V17" s="44"/>
      <c r="X17" s="45"/>
    </row>
    <row r="18" spans="1:24" ht="22.5" customHeight="1">
      <c r="A18" s="57">
        <v>8</v>
      </c>
      <c r="B18" s="41" t="s">
        <v>69</v>
      </c>
      <c r="C18" s="41" t="s">
        <v>70</v>
      </c>
      <c r="D18" s="42"/>
      <c r="E18" s="14"/>
      <c r="F18" s="41" t="s">
        <v>71</v>
      </c>
      <c r="G18" s="30">
        <v>44212</v>
      </c>
      <c r="H18" s="63">
        <v>6</v>
      </c>
      <c r="I18" s="64"/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44197</v>
      </c>
      <c r="H19" s="14">
        <v>5</v>
      </c>
      <c r="I19" s="43">
        <v>2122</v>
      </c>
      <c r="J19" s="14">
        <v>30</v>
      </c>
      <c r="K19" s="62">
        <v>2164</v>
      </c>
      <c r="L19" s="62"/>
      <c r="M19" s="43">
        <v>0</v>
      </c>
      <c r="N19" s="62">
        <f t="shared" si="0"/>
        <v>2164</v>
      </c>
      <c r="O19" s="62">
        <f t="shared" si="1"/>
        <v>216.4</v>
      </c>
      <c r="P19" s="62">
        <f t="shared" si="2"/>
        <v>37.004400000000004</v>
      </c>
      <c r="Q19" s="62">
        <f t="shared" si="3"/>
        <v>10.82</v>
      </c>
      <c r="R19" s="62">
        <f t="shared" si="4"/>
        <v>10.82</v>
      </c>
      <c r="S19" s="43">
        <v>0</v>
      </c>
      <c r="T19" s="43">
        <f t="shared" si="5"/>
        <v>275.0444</v>
      </c>
      <c r="U19" s="43">
        <f t="shared" si="6"/>
        <v>1888.9556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2164</v>
      </c>
      <c r="L20" s="62"/>
      <c r="M20" s="43">
        <v>324.60000000000002</v>
      </c>
      <c r="N20" s="62">
        <f t="shared" si="0"/>
        <v>2488.6</v>
      </c>
      <c r="O20" s="62">
        <f t="shared" si="1"/>
        <v>248.86</v>
      </c>
      <c r="P20" s="62">
        <f t="shared" si="2"/>
        <v>42.555059999999997</v>
      </c>
      <c r="Q20" s="62">
        <f t="shared" si="3"/>
        <v>12.443</v>
      </c>
      <c r="R20" s="62">
        <f t="shared" si="4"/>
        <v>12.443</v>
      </c>
      <c r="S20" s="43">
        <v>0</v>
      </c>
      <c r="T20" s="43">
        <f t="shared" si="5"/>
        <v>316.30106000000001</v>
      </c>
      <c r="U20" s="43">
        <f t="shared" si="6"/>
        <v>2172.2989399999997</v>
      </c>
      <c r="V20" s="44"/>
      <c r="X20" s="45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44228</v>
      </c>
      <c r="H21" s="40">
        <v>5</v>
      </c>
      <c r="J21" s="15">
        <v>30</v>
      </c>
      <c r="K21" s="38">
        <v>2348</v>
      </c>
      <c r="L21" s="62"/>
      <c r="M21" s="43">
        <v>0</v>
      </c>
      <c r="N21" s="62">
        <f t="shared" si="0"/>
        <v>2348</v>
      </c>
      <c r="O21" s="62">
        <f t="shared" si="1"/>
        <v>234.8</v>
      </c>
      <c r="P21" s="62">
        <f t="shared" si="2"/>
        <v>40.150800000000004</v>
      </c>
      <c r="Q21" s="62">
        <f t="shared" si="3"/>
        <v>11.74</v>
      </c>
      <c r="R21" s="62">
        <f t="shared" si="4"/>
        <v>11.74</v>
      </c>
      <c r="S21" s="43">
        <v>0</v>
      </c>
      <c r="T21" s="43">
        <f t="shared" si="5"/>
        <v>298.43080000000003</v>
      </c>
      <c r="U21" s="43">
        <f t="shared" si="6"/>
        <v>2049.5691999999999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44256</v>
      </c>
      <c r="H22" s="40">
        <v>6</v>
      </c>
      <c r="J22" s="15">
        <v>30</v>
      </c>
      <c r="K22" s="38">
        <v>2291.21</v>
      </c>
      <c r="L22" s="62"/>
      <c r="M22" s="43">
        <v>0</v>
      </c>
      <c r="N22" s="62">
        <f t="shared" si="0"/>
        <v>2291.21</v>
      </c>
      <c r="O22" s="62">
        <f t="shared" si="1"/>
        <v>229.12100000000001</v>
      </c>
      <c r="P22" s="62">
        <f t="shared" si="2"/>
        <v>39.179691000000005</v>
      </c>
      <c r="Q22" s="62">
        <f t="shared" si="3"/>
        <v>11.456050000000001</v>
      </c>
      <c r="R22" s="62">
        <f t="shared" si="4"/>
        <v>11.456050000000001</v>
      </c>
      <c r="S22" s="43">
        <v>0</v>
      </c>
      <c r="T22" s="43">
        <f t="shared" si="5"/>
        <v>291.21279100000004</v>
      </c>
      <c r="U22" s="43">
        <f t="shared" si="6"/>
        <v>1999.9972090000001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44197</v>
      </c>
      <c r="H23" s="63">
        <v>5</v>
      </c>
      <c r="I23" s="64"/>
      <c r="J23" s="14">
        <v>30</v>
      </c>
      <c r="K23" s="62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2164</v>
      </c>
      <c r="L24" s="62"/>
      <c r="M24" s="43">
        <v>0</v>
      </c>
      <c r="N24" s="62">
        <f t="shared" si="0"/>
        <v>2164</v>
      </c>
      <c r="O24" s="62">
        <f t="shared" si="1"/>
        <v>216.4</v>
      </c>
      <c r="P24" s="62">
        <f t="shared" si="2"/>
        <v>37.004400000000004</v>
      </c>
      <c r="Q24" s="62">
        <f t="shared" si="3"/>
        <v>10.82</v>
      </c>
      <c r="R24" s="62">
        <f t="shared" si="4"/>
        <v>10.82</v>
      </c>
      <c r="S24" s="43">
        <v>0</v>
      </c>
      <c r="T24" s="43">
        <f t="shared" si="5"/>
        <v>275.0444</v>
      </c>
      <c r="U24" s="43">
        <f t="shared" si="6"/>
        <v>1888.9556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44228</v>
      </c>
      <c r="H25" s="40">
        <v>4</v>
      </c>
      <c r="J25" s="15">
        <v>30</v>
      </c>
      <c r="K25" s="38">
        <v>2272.42</v>
      </c>
      <c r="L25" s="62"/>
      <c r="M25" s="43">
        <v>0</v>
      </c>
      <c r="N25" s="62">
        <f t="shared" si="0"/>
        <v>2272.42</v>
      </c>
      <c r="O25" s="62">
        <f t="shared" si="1"/>
        <v>227.24200000000002</v>
      </c>
      <c r="P25" s="62">
        <f t="shared" si="2"/>
        <v>38.858382000000006</v>
      </c>
      <c r="Q25" s="62">
        <f t="shared" si="3"/>
        <v>11.3621</v>
      </c>
      <c r="R25" s="62">
        <f t="shared" si="4"/>
        <v>11.3621</v>
      </c>
      <c r="S25" s="43">
        <v>0</v>
      </c>
      <c r="T25" s="43">
        <f t="shared" si="5"/>
        <v>288.82458200000002</v>
      </c>
      <c r="U25" s="43">
        <f t="shared" si="6"/>
        <v>1983.5954180000001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44228</v>
      </c>
      <c r="H26" s="40">
        <v>6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44228</v>
      </c>
      <c r="H27" s="40">
        <v>5</v>
      </c>
      <c r="J27" s="1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44228</v>
      </c>
      <c r="H28" s="74">
        <v>5</v>
      </c>
      <c r="J28" s="75">
        <v>30</v>
      </c>
      <c r="K28" s="38">
        <v>2164</v>
      </c>
      <c r="L28" s="62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44256</v>
      </c>
      <c r="H30" s="40">
        <v>5</v>
      </c>
      <c r="I30" s="76"/>
      <c r="J30" s="75">
        <v>30</v>
      </c>
      <c r="K30" s="68">
        <v>2164</v>
      </c>
      <c r="L30" s="69"/>
      <c r="M30" s="43">
        <v>0</v>
      </c>
      <c r="N30" s="62">
        <f t="shared" si="0"/>
        <v>2164</v>
      </c>
      <c r="O30" s="62">
        <f t="shared" si="1"/>
        <v>216.4</v>
      </c>
      <c r="P30" s="62">
        <f t="shared" si="2"/>
        <v>37.004400000000004</v>
      </c>
      <c r="Q30" s="62">
        <f t="shared" si="3"/>
        <v>10.82</v>
      </c>
      <c r="R30" s="62">
        <f t="shared" si="4"/>
        <v>10.82</v>
      </c>
      <c r="S30" s="43">
        <v>0</v>
      </c>
      <c r="T30" s="43">
        <f t="shared" si="5"/>
        <v>275.0444</v>
      </c>
      <c r="U30" s="43">
        <f t="shared" si="6"/>
        <v>1888.9556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46182.659999999996</v>
      </c>
      <c r="L31" s="32"/>
      <c r="M31" s="32">
        <f t="shared" ref="M31" si="7">SUM(M14:M28)</f>
        <v>324.60000000000002</v>
      </c>
      <c r="N31" s="32">
        <f>SUM(N11:N30)</f>
        <v>46507.259999999995</v>
      </c>
      <c r="O31" s="32">
        <f>SUM(O11:O30)</f>
        <v>4650.7260000000006</v>
      </c>
      <c r="P31" s="32">
        <f>SUM(P11:P30)</f>
        <v>795.27414600000031</v>
      </c>
      <c r="Q31" s="32">
        <f>SUM(Q11:Q30)</f>
        <v>232.53629999999993</v>
      </c>
      <c r="R31" s="32">
        <f>SUM(R11:R30)</f>
        <v>232.53629999999993</v>
      </c>
      <c r="S31" s="32">
        <f>SUM(S14:S30)</f>
        <v>0</v>
      </c>
      <c r="T31" s="32">
        <f>SUM(T11:T30)</f>
        <v>5911.072745999998</v>
      </c>
      <c r="U31" s="32">
        <f>SUM(U11:U30)</f>
        <v>40596.187254000004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5911.072745999998</v>
      </c>
      <c r="U32" s="23"/>
    </row>
    <row r="33" spans="1:22">
      <c r="N33" s="46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s="18" customFormat="1">
      <c r="A35"/>
      <c r="B35"/>
      <c r="C35"/>
      <c r="D35"/>
      <c r="E35" s="9"/>
      <c r="F35"/>
      <c r="G35"/>
      <c r="H35"/>
      <c r="I35"/>
      <c r="J35"/>
      <c r="K35" t="s">
        <v>134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Hoja15"/>
  <dimension ref="A1:Z34"/>
  <sheetViews>
    <sheetView topLeftCell="A3" workbookViewId="0">
      <selection activeCell="M31" sqref="M31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135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29" si="0">K11+M11</f>
        <v>2164</v>
      </c>
      <c r="O11" s="62">
        <f t="shared" ref="O11:O29" si="1">+N11*0.1</f>
        <v>216.4</v>
      </c>
      <c r="P11" s="62">
        <f t="shared" ref="P11:P29" si="2">+N11*0.0171</f>
        <v>37.004400000000004</v>
      </c>
      <c r="Q11" s="62">
        <f t="shared" ref="Q11:Q29" si="3">+N11*0.005</f>
        <v>10.82</v>
      </c>
      <c r="R11" s="62">
        <f t="shared" ref="R11:R29" si="4">N11*0.5%</f>
        <v>10.82</v>
      </c>
      <c r="S11" s="43">
        <v>0</v>
      </c>
      <c r="T11" s="43">
        <f t="shared" ref="T11:T29" si="5">+O11+P11+Q11+R11+S11</f>
        <v>275.0444</v>
      </c>
      <c r="U11" s="43">
        <f t="shared" ref="U11:U29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44228</v>
      </c>
      <c r="H16" s="40">
        <v>5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6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44212</v>
      </c>
      <c r="H17" s="63">
        <v>6</v>
      </c>
      <c r="I17" s="64"/>
      <c r="J17" s="14">
        <v>30</v>
      </c>
      <c r="K17" s="62">
        <v>2164</v>
      </c>
      <c r="L17" s="62"/>
      <c r="M17" s="43">
        <v>0</v>
      </c>
      <c r="N17" s="62">
        <f t="shared" si="0"/>
        <v>2164</v>
      </c>
      <c r="O17" s="62">
        <f t="shared" si="1"/>
        <v>216.4</v>
      </c>
      <c r="P17" s="62">
        <f t="shared" si="2"/>
        <v>37.004400000000004</v>
      </c>
      <c r="Q17" s="62">
        <f t="shared" si="3"/>
        <v>10.82</v>
      </c>
      <c r="R17" s="62">
        <f t="shared" si="4"/>
        <v>10.82</v>
      </c>
      <c r="S17" s="43">
        <v>0</v>
      </c>
      <c r="T17" s="43">
        <f t="shared" si="5"/>
        <v>275.0444</v>
      </c>
      <c r="U17" s="43">
        <f t="shared" si="6"/>
        <v>1888.9556</v>
      </c>
      <c r="V17" s="44"/>
      <c r="X17" s="45"/>
    </row>
    <row r="18" spans="1:26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44197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6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62">
        <f t="shared" si="1"/>
        <v>248.86</v>
      </c>
      <c r="P19" s="62">
        <f t="shared" si="2"/>
        <v>42.555059999999997</v>
      </c>
      <c r="Q19" s="62">
        <f t="shared" si="3"/>
        <v>12.443</v>
      </c>
      <c r="R19" s="62">
        <f t="shared" si="4"/>
        <v>12.443</v>
      </c>
      <c r="S19" s="43">
        <v>0</v>
      </c>
      <c r="T19" s="43">
        <f t="shared" si="5"/>
        <v>316.30106000000001</v>
      </c>
      <c r="U19" s="43">
        <f t="shared" si="6"/>
        <v>2172.2989399999997</v>
      </c>
      <c r="V19" s="44"/>
      <c r="X19" s="45"/>
    </row>
    <row r="20" spans="1:26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44228</v>
      </c>
      <c r="H20" s="40">
        <v>5</v>
      </c>
      <c r="J20" s="15">
        <v>30</v>
      </c>
      <c r="K20" s="38">
        <v>2348</v>
      </c>
      <c r="L20" s="62"/>
      <c r="M20" s="43">
        <v>0</v>
      </c>
      <c r="N20" s="62">
        <f t="shared" si="0"/>
        <v>2348</v>
      </c>
      <c r="O20" s="62">
        <f t="shared" si="1"/>
        <v>234.8</v>
      </c>
      <c r="P20" s="62">
        <f t="shared" si="2"/>
        <v>40.150800000000004</v>
      </c>
      <c r="Q20" s="62">
        <f t="shared" si="3"/>
        <v>11.74</v>
      </c>
      <c r="R20" s="62">
        <f t="shared" si="4"/>
        <v>11.74</v>
      </c>
      <c r="S20" s="43">
        <v>0</v>
      </c>
      <c r="T20" s="43">
        <f t="shared" si="5"/>
        <v>298.43080000000003</v>
      </c>
      <c r="U20" s="43">
        <f t="shared" si="6"/>
        <v>2049.5691999999999</v>
      </c>
      <c r="V20" s="44"/>
      <c r="X20" s="45"/>
    </row>
    <row r="21" spans="1:26" ht="22.5" customHeight="1">
      <c r="A21" s="57">
        <v>11</v>
      </c>
      <c r="B21" s="41" t="s">
        <v>52</v>
      </c>
      <c r="C21" s="41" t="s">
        <v>128</v>
      </c>
      <c r="D21" s="42"/>
      <c r="E21" s="14"/>
      <c r="F21" s="41" t="s">
        <v>40</v>
      </c>
      <c r="G21" s="30">
        <v>44256</v>
      </c>
      <c r="H21" s="40">
        <v>6</v>
      </c>
      <c r="J21" s="15">
        <v>30</v>
      </c>
      <c r="K21" s="38">
        <v>2291.21</v>
      </c>
      <c r="L21" s="62"/>
      <c r="M21" s="43">
        <v>0</v>
      </c>
      <c r="N21" s="62">
        <f t="shared" si="0"/>
        <v>2291.21</v>
      </c>
      <c r="O21" s="62">
        <f t="shared" si="1"/>
        <v>229.12100000000001</v>
      </c>
      <c r="P21" s="62">
        <f t="shared" si="2"/>
        <v>39.179691000000005</v>
      </c>
      <c r="Q21" s="62">
        <f t="shared" si="3"/>
        <v>11.456050000000001</v>
      </c>
      <c r="R21" s="62">
        <f t="shared" si="4"/>
        <v>11.456050000000001</v>
      </c>
      <c r="S21" s="43">
        <v>0</v>
      </c>
      <c r="T21" s="43">
        <f t="shared" si="5"/>
        <v>291.21279100000004</v>
      </c>
      <c r="U21" s="43">
        <f t="shared" si="6"/>
        <v>1999.9972090000001</v>
      </c>
      <c r="V21" s="44"/>
      <c r="X21" s="45"/>
    </row>
    <row r="22" spans="1:26" ht="22.5" customHeight="1">
      <c r="A22" s="57">
        <v>12</v>
      </c>
      <c r="B22" s="21" t="s">
        <v>96</v>
      </c>
      <c r="C22" s="21" t="s">
        <v>97</v>
      </c>
      <c r="D22" s="20"/>
      <c r="E22" s="22" t="s">
        <v>40</v>
      </c>
      <c r="F22" s="41" t="s">
        <v>40</v>
      </c>
      <c r="G22" s="30">
        <v>44197</v>
      </c>
      <c r="H22" s="63">
        <v>5</v>
      </c>
      <c r="I22" s="64"/>
      <c r="J22" s="14">
        <v>30</v>
      </c>
      <c r="K22" s="62">
        <v>2164</v>
      </c>
      <c r="L22" s="62"/>
      <c r="M22" s="43">
        <v>0</v>
      </c>
      <c r="N22" s="62">
        <f t="shared" si="0"/>
        <v>2164</v>
      </c>
      <c r="O22" s="62">
        <f t="shared" si="1"/>
        <v>216.4</v>
      </c>
      <c r="P22" s="62">
        <f t="shared" si="2"/>
        <v>37.004400000000004</v>
      </c>
      <c r="Q22" s="62">
        <f t="shared" si="3"/>
        <v>10.82</v>
      </c>
      <c r="R22" s="62">
        <f t="shared" si="4"/>
        <v>10.82</v>
      </c>
      <c r="S22" s="43">
        <v>0</v>
      </c>
      <c r="T22" s="43">
        <f t="shared" si="5"/>
        <v>275.0444</v>
      </c>
      <c r="U22" s="43">
        <f t="shared" si="6"/>
        <v>1888.9556</v>
      </c>
      <c r="V22" s="44"/>
      <c r="X22" s="45"/>
    </row>
    <row r="23" spans="1:26" ht="22.5" customHeight="1">
      <c r="A23" s="57">
        <v>13</v>
      </c>
      <c r="B23" s="41" t="s">
        <v>82</v>
      </c>
      <c r="C23" s="41" t="s">
        <v>83</v>
      </c>
      <c r="D23" s="42"/>
      <c r="E23" s="14"/>
      <c r="F23" s="41" t="s">
        <v>36</v>
      </c>
      <c r="G23" s="30">
        <v>44228</v>
      </c>
      <c r="H23" s="40">
        <v>4</v>
      </c>
      <c r="J23" s="15">
        <v>30</v>
      </c>
      <c r="K23" s="38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6" ht="22.5" customHeight="1">
      <c r="A24" s="57">
        <v>14</v>
      </c>
      <c r="B24" s="41" t="s">
        <v>35</v>
      </c>
      <c r="C24" s="41" t="s">
        <v>64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2272.42</v>
      </c>
      <c r="L24" s="62"/>
      <c r="M24" s="43">
        <v>0</v>
      </c>
      <c r="N24" s="62">
        <f t="shared" si="0"/>
        <v>2272.42</v>
      </c>
      <c r="O24" s="62">
        <f t="shared" si="1"/>
        <v>227.24200000000002</v>
      </c>
      <c r="P24" s="62">
        <f t="shared" si="2"/>
        <v>38.858382000000006</v>
      </c>
      <c r="Q24" s="62">
        <f t="shared" si="3"/>
        <v>11.3621</v>
      </c>
      <c r="R24" s="62">
        <f t="shared" si="4"/>
        <v>11.3621</v>
      </c>
      <c r="S24" s="43">
        <v>0</v>
      </c>
      <c r="T24" s="43">
        <f t="shared" si="5"/>
        <v>288.82458200000002</v>
      </c>
      <c r="U24" s="43">
        <f t="shared" si="6"/>
        <v>1983.5954180000001</v>
      </c>
      <c r="V24" s="44"/>
      <c r="X24" s="45"/>
    </row>
    <row r="25" spans="1:26" ht="22.5" customHeight="1">
      <c r="A25" s="57">
        <v>15</v>
      </c>
      <c r="B25" s="41" t="s">
        <v>41</v>
      </c>
      <c r="C25" s="41" t="s">
        <v>72</v>
      </c>
      <c r="D25" s="42"/>
      <c r="E25" s="14"/>
      <c r="F25" s="41" t="s">
        <v>73</v>
      </c>
      <c r="G25" s="30">
        <v>44228</v>
      </c>
      <c r="H25" s="40">
        <v>6</v>
      </c>
      <c r="J25" s="15">
        <v>30</v>
      </c>
      <c r="K25" s="38">
        <v>2164</v>
      </c>
      <c r="L25" s="62"/>
      <c r="M25" s="43">
        <v>0</v>
      </c>
      <c r="N25" s="62">
        <f t="shared" si="0"/>
        <v>2164</v>
      </c>
      <c r="O25" s="62">
        <f t="shared" si="1"/>
        <v>216.4</v>
      </c>
      <c r="P25" s="62">
        <f t="shared" si="2"/>
        <v>37.004400000000004</v>
      </c>
      <c r="Q25" s="62">
        <f t="shared" si="3"/>
        <v>10.82</v>
      </c>
      <c r="R25" s="62">
        <f t="shared" si="4"/>
        <v>10.82</v>
      </c>
      <c r="S25" s="43">
        <v>0</v>
      </c>
      <c r="T25" s="43">
        <f t="shared" si="5"/>
        <v>275.0444</v>
      </c>
      <c r="U25" s="43">
        <f t="shared" si="6"/>
        <v>1888.9556</v>
      </c>
      <c r="V25" s="44"/>
      <c r="X25" s="45"/>
    </row>
    <row r="26" spans="1:26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44228</v>
      </c>
      <c r="H26" s="40">
        <v>5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6" ht="22.5" customHeight="1">
      <c r="A27" s="57">
        <v>17</v>
      </c>
      <c r="B27" s="70" t="s">
        <v>50</v>
      </c>
      <c r="C27" s="70" t="s">
        <v>66</v>
      </c>
      <c r="D27" s="71"/>
      <c r="E27" s="72"/>
      <c r="F27" s="70" t="s">
        <v>51</v>
      </c>
      <c r="G27" s="73">
        <v>44228</v>
      </c>
      <c r="H27" s="74">
        <v>5</v>
      </c>
      <c r="J27" s="7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6" ht="22.5" customHeight="1">
      <c r="A28" s="57">
        <v>18</v>
      </c>
      <c r="B28" s="41" t="s">
        <v>43</v>
      </c>
      <c r="C28" s="41" t="s">
        <v>124</v>
      </c>
      <c r="D28" s="42"/>
      <c r="E28" s="14"/>
      <c r="F28" s="41" t="s">
        <v>36</v>
      </c>
      <c r="G28" s="30">
        <v>44256</v>
      </c>
      <c r="H28" s="40">
        <v>5</v>
      </c>
      <c r="I28" s="76"/>
      <c r="J28" s="75">
        <v>30</v>
      </c>
      <c r="K28" s="68">
        <v>2164</v>
      </c>
      <c r="L28" s="69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6" ht="22.5" customHeight="1">
      <c r="A29" s="57">
        <v>19</v>
      </c>
      <c r="B29" s="41" t="s">
        <v>37</v>
      </c>
      <c r="C29" s="41" t="s">
        <v>38</v>
      </c>
      <c r="D29" s="42"/>
      <c r="E29" s="14"/>
      <c r="F29" s="41" t="s">
        <v>34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6" s="18" customFormat="1" ht="21" customHeight="1">
      <c r="A30" s="33"/>
      <c r="B30" s="34"/>
      <c r="C30" s="35" t="s">
        <v>22</v>
      </c>
      <c r="D30" s="34"/>
      <c r="E30" s="36"/>
      <c r="F30" s="34"/>
      <c r="G30" s="34"/>
      <c r="H30" s="65"/>
      <c r="I30" s="65"/>
      <c r="J30" s="37"/>
      <c r="K30" s="32">
        <f>SUM(K11:K29)</f>
        <v>44018.659999999996</v>
      </c>
      <c r="L30" s="32"/>
      <c r="M30" s="32">
        <f t="shared" ref="M30" si="7">SUM(M14:M27)</f>
        <v>324.60000000000002</v>
      </c>
      <c r="N30" s="32">
        <f>SUM(N11:N29)</f>
        <v>44343.259999999995</v>
      </c>
      <c r="O30" s="32">
        <f>SUM(O11:O29)</f>
        <v>4434.3260000000009</v>
      </c>
      <c r="P30" s="32">
        <f>SUM(P11:P29)</f>
        <v>758.26974600000028</v>
      </c>
      <c r="Q30" s="32">
        <f>SUM(Q11:Q29)</f>
        <v>221.71629999999993</v>
      </c>
      <c r="R30" s="32">
        <f>SUM(R11:R29)</f>
        <v>221.71629999999993</v>
      </c>
      <c r="S30" s="32">
        <f>SUM(S14:S29)</f>
        <v>0</v>
      </c>
      <c r="T30" s="32">
        <f>SUM(T11:T29)</f>
        <v>5636.0283459999982</v>
      </c>
      <c r="U30" s="32">
        <f>SUM(U11:U29)</f>
        <v>38707.231654000003</v>
      </c>
      <c r="V30" s="19"/>
    </row>
    <row r="31" spans="1:26" s="18" customFormat="1" ht="9.75" customHeigh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23">
        <f>SUM(T30:T30)</f>
        <v>5636.0283459999982</v>
      </c>
      <c r="U31" s="23"/>
    </row>
    <row r="32" spans="1:26" s="18" customFormat="1">
      <c r="A32"/>
      <c r="B32"/>
      <c r="C32"/>
      <c r="D32"/>
      <c r="E32" s="9"/>
      <c r="F32"/>
      <c r="G32"/>
      <c r="H32"/>
      <c r="I32"/>
      <c r="J32"/>
      <c r="K32"/>
      <c r="L32"/>
      <c r="M32"/>
      <c r="N32" s="46"/>
      <c r="O32"/>
      <c r="P32"/>
      <c r="Q32"/>
      <c r="R32"/>
      <c r="S32"/>
      <c r="T32"/>
      <c r="U32"/>
      <c r="V32"/>
      <c r="Y32"/>
      <c r="Z32"/>
    </row>
    <row r="33" spans="1:22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 t="s">
        <v>136</v>
      </c>
      <c r="L34"/>
      <c r="M34"/>
      <c r="N34"/>
      <c r="O34"/>
      <c r="P34"/>
      <c r="Q34"/>
      <c r="R34"/>
      <c r="S34"/>
      <c r="T34"/>
      <c r="U34"/>
      <c r="V34"/>
    </row>
  </sheetData>
  <mergeCells count="17"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Hoja16"/>
  <dimension ref="A1:Z34"/>
  <sheetViews>
    <sheetView topLeftCell="A6" workbookViewId="0">
      <selection activeCell="X19" sqref="X19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137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29" si="0">K11+M11</f>
        <v>2164</v>
      </c>
      <c r="O11" s="62">
        <f t="shared" ref="O11:O29" si="1">+N11*0.1</f>
        <v>216.4</v>
      </c>
      <c r="P11" s="62">
        <f t="shared" ref="P11:P29" si="2">+N11*0.0171</f>
        <v>37.004400000000004</v>
      </c>
      <c r="Q11" s="62">
        <f t="shared" ref="Q11:Q29" si="3">+N11*0.005</f>
        <v>10.82</v>
      </c>
      <c r="R11" s="62">
        <f t="shared" ref="R11:R29" si="4">N11*0.5%</f>
        <v>10.82</v>
      </c>
      <c r="S11" s="43">
        <v>0</v>
      </c>
      <c r="T11" s="43">
        <f t="shared" ref="T11:T29" si="5">+O11+P11+Q11+R11+S11</f>
        <v>275.0444</v>
      </c>
      <c r="U11" s="43">
        <f t="shared" ref="U11:U29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44228</v>
      </c>
      <c r="H16" s="40">
        <v>5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6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44212</v>
      </c>
      <c r="H17" s="63">
        <v>6</v>
      </c>
      <c r="I17" s="64"/>
      <c r="J17" s="14">
        <v>30</v>
      </c>
      <c r="K17" s="62">
        <v>2164</v>
      </c>
      <c r="L17" s="62"/>
      <c r="M17" s="43">
        <v>0</v>
      </c>
      <c r="N17" s="62">
        <f t="shared" si="0"/>
        <v>2164</v>
      </c>
      <c r="O17" s="62">
        <f t="shared" si="1"/>
        <v>216.4</v>
      </c>
      <c r="P17" s="62">
        <f t="shared" si="2"/>
        <v>37.004400000000004</v>
      </c>
      <c r="Q17" s="62">
        <f t="shared" si="3"/>
        <v>10.82</v>
      </c>
      <c r="R17" s="62">
        <f t="shared" si="4"/>
        <v>10.82</v>
      </c>
      <c r="S17" s="43">
        <v>0</v>
      </c>
      <c r="T17" s="43">
        <f t="shared" si="5"/>
        <v>275.0444</v>
      </c>
      <c r="U17" s="43">
        <f t="shared" si="6"/>
        <v>1888.9556</v>
      </c>
      <c r="V17" s="44"/>
      <c r="X17" s="45"/>
    </row>
    <row r="18" spans="1:26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44197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6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62">
        <f t="shared" si="1"/>
        <v>248.86</v>
      </c>
      <c r="P19" s="62">
        <f t="shared" si="2"/>
        <v>42.555059999999997</v>
      </c>
      <c r="Q19" s="62">
        <f t="shared" si="3"/>
        <v>12.443</v>
      </c>
      <c r="R19" s="62">
        <f t="shared" si="4"/>
        <v>12.443</v>
      </c>
      <c r="S19" s="43">
        <v>0</v>
      </c>
      <c r="T19" s="43">
        <f t="shared" si="5"/>
        <v>316.30106000000001</v>
      </c>
      <c r="U19" s="43">
        <f t="shared" si="6"/>
        <v>2172.2989399999997</v>
      </c>
      <c r="V19" s="44"/>
      <c r="X19" s="108">
        <f>+U19-40</f>
        <v>2132.2989399999997</v>
      </c>
    </row>
    <row r="20" spans="1:26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44228</v>
      </c>
      <c r="H20" s="40">
        <v>5</v>
      </c>
      <c r="J20" s="15">
        <v>30</v>
      </c>
      <c r="K20" s="38">
        <v>2348</v>
      </c>
      <c r="L20" s="62"/>
      <c r="M20" s="43">
        <v>0</v>
      </c>
      <c r="N20" s="62">
        <f t="shared" si="0"/>
        <v>2348</v>
      </c>
      <c r="O20" s="62">
        <f t="shared" si="1"/>
        <v>234.8</v>
      </c>
      <c r="P20" s="62">
        <f t="shared" si="2"/>
        <v>40.150800000000004</v>
      </c>
      <c r="Q20" s="62">
        <f t="shared" si="3"/>
        <v>11.74</v>
      </c>
      <c r="R20" s="62">
        <f t="shared" si="4"/>
        <v>11.74</v>
      </c>
      <c r="S20" s="43">
        <v>0</v>
      </c>
      <c r="T20" s="43">
        <f t="shared" si="5"/>
        <v>298.43080000000003</v>
      </c>
      <c r="U20" s="43">
        <f t="shared" si="6"/>
        <v>2049.5691999999999</v>
      </c>
      <c r="V20" s="44"/>
      <c r="X20" s="45"/>
    </row>
    <row r="21" spans="1:26" ht="22.5" customHeight="1">
      <c r="A21" s="57">
        <v>11</v>
      </c>
      <c r="B21" s="41" t="s">
        <v>52</v>
      </c>
      <c r="C21" s="41" t="s">
        <v>128</v>
      </c>
      <c r="D21" s="42"/>
      <c r="E21" s="14"/>
      <c r="F21" s="41" t="s">
        <v>40</v>
      </c>
      <c r="G21" s="30">
        <v>44256</v>
      </c>
      <c r="H21" s="40">
        <v>6</v>
      </c>
      <c r="J21" s="15">
        <v>30</v>
      </c>
      <c r="K21" s="38">
        <v>2291.21</v>
      </c>
      <c r="L21" s="62"/>
      <c r="M21" s="43">
        <v>0</v>
      </c>
      <c r="N21" s="62">
        <f t="shared" si="0"/>
        <v>2291.21</v>
      </c>
      <c r="O21" s="62">
        <f t="shared" si="1"/>
        <v>229.12100000000001</v>
      </c>
      <c r="P21" s="62">
        <f t="shared" si="2"/>
        <v>39.179691000000005</v>
      </c>
      <c r="Q21" s="62">
        <f t="shared" si="3"/>
        <v>11.456050000000001</v>
      </c>
      <c r="R21" s="62">
        <f t="shared" si="4"/>
        <v>11.456050000000001</v>
      </c>
      <c r="S21" s="43">
        <v>0</v>
      </c>
      <c r="T21" s="43">
        <f t="shared" si="5"/>
        <v>291.21279100000004</v>
      </c>
      <c r="U21" s="43">
        <f t="shared" si="6"/>
        <v>1999.9972090000001</v>
      </c>
      <c r="V21" s="44"/>
      <c r="X21" s="45"/>
    </row>
    <row r="22" spans="1:26" ht="22.5" customHeight="1">
      <c r="A22" s="57">
        <v>12</v>
      </c>
      <c r="B22" s="21" t="s">
        <v>96</v>
      </c>
      <c r="C22" s="21" t="s">
        <v>97</v>
      </c>
      <c r="D22" s="20"/>
      <c r="E22" s="22" t="s">
        <v>40</v>
      </c>
      <c r="F22" s="41" t="s">
        <v>40</v>
      </c>
      <c r="G22" s="30">
        <v>44197</v>
      </c>
      <c r="H22" s="63">
        <v>5</v>
      </c>
      <c r="I22" s="64"/>
      <c r="J22" s="14">
        <v>30</v>
      </c>
      <c r="K22" s="62">
        <v>2164</v>
      </c>
      <c r="L22" s="62"/>
      <c r="M22" s="43">
        <v>0</v>
      </c>
      <c r="N22" s="62">
        <f t="shared" si="0"/>
        <v>2164</v>
      </c>
      <c r="O22" s="62">
        <f t="shared" si="1"/>
        <v>216.4</v>
      </c>
      <c r="P22" s="62">
        <f t="shared" si="2"/>
        <v>37.004400000000004</v>
      </c>
      <c r="Q22" s="62">
        <f t="shared" si="3"/>
        <v>10.82</v>
      </c>
      <c r="R22" s="62">
        <f t="shared" si="4"/>
        <v>10.82</v>
      </c>
      <c r="S22" s="43">
        <v>0</v>
      </c>
      <c r="T22" s="43">
        <f t="shared" si="5"/>
        <v>275.0444</v>
      </c>
      <c r="U22" s="43">
        <f t="shared" si="6"/>
        <v>1888.9556</v>
      </c>
      <c r="V22" s="44"/>
      <c r="X22" s="45"/>
    </row>
    <row r="23" spans="1:26" ht="22.5" customHeight="1">
      <c r="A23" s="57">
        <v>13</v>
      </c>
      <c r="B23" s="41" t="s">
        <v>82</v>
      </c>
      <c r="C23" s="41" t="s">
        <v>83</v>
      </c>
      <c r="D23" s="42"/>
      <c r="E23" s="14"/>
      <c r="F23" s="41" t="s">
        <v>36</v>
      </c>
      <c r="G23" s="30">
        <v>44228</v>
      </c>
      <c r="H23" s="40">
        <v>4</v>
      </c>
      <c r="J23" s="15">
        <v>30</v>
      </c>
      <c r="K23" s="38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6" ht="22.5" customHeight="1">
      <c r="A24" s="57">
        <v>14</v>
      </c>
      <c r="B24" s="41" t="s">
        <v>35</v>
      </c>
      <c r="C24" s="41" t="s">
        <v>64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2272.42</v>
      </c>
      <c r="L24" s="62"/>
      <c r="M24" s="43">
        <v>0</v>
      </c>
      <c r="N24" s="62">
        <f t="shared" si="0"/>
        <v>2272.42</v>
      </c>
      <c r="O24" s="62">
        <f t="shared" si="1"/>
        <v>227.24200000000002</v>
      </c>
      <c r="P24" s="62">
        <f t="shared" si="2"/>
        <v>38.858382000000006</v>
      </c>
      <c r="Q24" s="62">
        <f t="shared" si="3"/>
        <v>11.3621</v>
      </c>
      <c r="R24" s="62">
        <f t="shared" si="4"/>
        <v>11.3621</v>
      </c>
      <c r="S24" s="43">
        <v>0</v>
      </c>
      <c r="T24" s="43">
        <f t="shared" si="5"/>
        <v>288.82458200000002</v>
      </c>
      <c r="U24" s="43">
        <f t="shared" si="6"/>
        <v>1983.5954180000001</v>
      </c>
      <c r="V24" s="44"/>
      <c r="X24" s="45"/>
    </row>
    <row r="25" spans="1:26" ht="22.5" customHeight="1">
      <c r="A25" s="57">
        <v>15</v>
      </c>
      <c r="B25" s="41" t="s">
        <v>41</v>
      </c>
      <c r="C25" s="41" t="s">
        <v>72</v>
      </c>
      <c r="D25" s="42"/>
      <c r="E25" s="14"/>
      <c r="F25" s="41" t="s">
        <v>73</v>
      </c>
      <c r="G25" s="30">
        <v>44228</v>
      </c>
      <c r="H25" s="40">
        <v>6</v>
      </c>
      <c r="J25" s="15">
        <v>30</v>
      </c>
      <c r="K25" s="38">
        <v>2164</v>
      </c>
      <c r="L25" s="62"/>
      <c r="M25" s="43">
        <v>0</v>
      </c>
      <c r="N25" s="62">
        <f t="shared" si="0"/>
        <v>2164</v>
      </c>
      <c r="O25" s="62">
        <f t="shared" si="1"/>
        <v>216.4</v>
      </c>
      <c r="P25" s="62">
        <f t="shared" si="2"/>
        <v>37.004400000000004</v>
      </c>
      <c r="Q25" s="62">
        <f t="shared" si="3"/>
        <v>10.82</v>
      </c>
      <c r="R25" s="62">
        <f t="shared" si="4"/>
        <v>10.82</v>
      </c>
      <c r="S25" s="43">
        <v>0</v>
      </c>
      <c r="T25" s="43">
        <f t="shared" si="5"/>
        <v>275.0444</v>
      </c>
      <c r="U25" s="43">
        <f t="shared" si="6"/>
        <v>1888.9556</v>
      </c>
      <c r="V25" s="44"/>
      <c r="X25" s="45"/>
    </row>
    <row r="26" spans="1:26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44228</v>
      </c>
      <c r="H26" s="40">
        <v>5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6" ht="22.5" customHeight="1">
      <c r="A27" s="57">
        <v>17</v>
      </c>
      <c r="B27" s="70" t="s">
        <v>50</v>
      </c>
      <c r="C27" s="70" t="s">
        <v>66</v>
      </c>
      <c r="D27" s="71"/>
      <c r="E27" s="72"/>
      <c r="F27" s="70" t="s">
        <v>51</v>
      </c>
      <c r="G27" s="73">
        <v>44228</v>
      </c>
      <c r="H27" s="74">
        <v>5</v>
      </c>
      <c r="J27" s="7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6" ht="22.5" customHeight="1">
      <c r="A28" s="57">
        <v>18</v>
      </c>
      <c r="B28" s="41" t="s">
        <v>43</v>
      </c>
      <c r="C28" s="41" t="s">
        <v>124</v>
      </c>
      <c r="D28" s="42"/>
      <c r="E28" s="14"/>
      <c r="F28" s="41" t="s">
        <v>36</v>
      </c>
      <c r="G28" s="30">
        <v>44256</v>
      </c>
      <c r="H28" s="40">
        <v>5</v>
      </c>
      <c r="I28" s="76"/>
      <c r="J28" s="75">
        <v>30</v>
      </c>
      <c r="K28" s="68">
        <v>2164</v>
      </c>
      <c r="L28" s="69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6" ht="22.5" customHeight="1">
      <c r="A29" s="57">
        <v>19</v>
      </c>
      <c r="B29" s="41" t="s">
        <v>37</v>
      </c>
      <c r="C29" s="41" t="s">
        <v>38</v>
      </c>
      <c r="D29" s="42"/>
      <c r="E29" s="14"/>
      <c r="F29" s="41" t="s">
        <v>34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6" s="18" customFormat="1" ht="21" customHeight="1">
      <c r="A30" s="33"/>
      <c r="B30" s="34"/>
      <c r="C30" s="35" t="s">
        <v>22</v>
      </c>
      <c r="D30" s="34"/>
      <c r="E30" s="36"/>
      <c r="F30" s="34"/>
      <c r="G30" s="34"/>
      <c r="H30" s="65"/>
      <c r="I30" s="65"/>
      <c r="J30" s="37"/>
      <c r="K30" s="32">
        <f>SUM(K11:K29)</f>
        <v>44018.659999999996</v>
      </c>
      <c r="L30" s="32"/>
      <c r="M30" s="32">
        <f t="shared" ref="M30" si="7">SUM(M14:M27)</f>
        <v>324.60000000000002</v>
      </c>
      <c r="N30" s="32">
        <f>SUM(N11:N29)</f>
        <v>44343.259999999995</v>
      </c>
      <c r="O30" s="32">
        <f>SUM(O11:O29)</f>
        <v>4434.3260000000009</v>
      </c>
      <c r="P30" s="32">
        <f>SUM(P11:P29)</f>
        <v>758.26974600000028</v>
      </c>
      <c r="Q30" s="32">
        <f>SUM(Q11:Q29)</f>
        <v>221.71629999999993</v>
      </c>
      <c r="R30" s="32">
        <f>SUM(R11:R29)</f>
        <v>221.71629999999993</v>
      </c>
      <c r="S30" s="32">
        <f>SUM(S14:S29)</f>
        <v>0</v>
      </c>
      <c r="T30" s="32">
        <f>SUM(T11:T29)</f>
        <v>5636.0283459999982</v>
      </c>
      <c r="U30" s="32">
        <f>SUM(U11:U29)</f>
        <v>38707.231654000003</v>
      </c>
      <c r="V30" s="19"/>
    </row>
    <row r="31" spans="1:26" s="18" customFormat="1" ht="9.75" customHeigh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23">
        <f>SUM(T30:T30)</f>
        <v>5636.0283459999982</v>
      </c>
      <c r="U31" s="23"/>
    </row>
    <row r="32" spans="1:26" s="18" customFormat="1">
      <c r="A32"/>
      <c r="B32"/>
      <c r="C32"/>
      <c r="D32"/>
      <c r="E32" s="9"/>
      <c r="F32"/>
      <c r="G32"/>
      <c r="H32"/>
      <c r="I32"/>
      <c r="J32"/>
      <c r="K32"/>
      <c r="L32"/>
      <c r="M32"/>
      <c r="N32" s="46"/>
      <c r="O32"/>
      <c r="P32"/>
      <c r="Q32"/>
      <c r="R32"/>
      <c r="S32"/>
      <c r="T32"/>
      <c r="U32"/>
      <c r="V32"/>
      <c r="Y32"/>
      <c r="Z32"/>
    </row>
    <row r="33" spans="1:22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 t="s">
        <v>138</v>
      </c>
      <c r="L34"/>
      <c r="M34"/>
      <c r="N34"/>
      <c r="O34"/>
      <c r="P34"/>
      <c r="Q34"/>
      <c r="R34"/>
      <c r="S34"/>
      <c r="T34"/>
      <c r="U34"/>
      <c r="V34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Hoja17"/>
  <dimension ref="A1:Z34"/>
  <sheetViews>
    <sheetView topLeftCell="A17" workbookViewId="0">
      <selection activeCell="K35" sqref="K35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139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29" si="0">K11+M11</f>
        <v>2164</v>
      </c>
      <c r="O11" s="62">
        <f t="shared" ref="O11:O29" si="1">+N11*0.1</f>
        <v>216.4</v>
      </c>
      <c r="P11" s="62">
        <f t="shared" ref="P11:P29" si="2">+N11*0.0171</f>
        <v>37.004400000000004</v>
      </c>
      <c r="Q11" s="62">
        <f t="shared" ref="Q11:Q29" si="3">+N11*0.005</f>
        <v>10.82</v>
      </c>
      <c r="R11" s="62">
        <f t="shared" ref="R11:R29" si="4">N11*0.5%</f>
        <v>10.82</v>
      </c>
      <c r="S11" s="43">
        <v>0</v>
      </c>
      <c r="T11" s="43">
        <f t="shared" ref="T11:T29" si="5">+O11+P11+Q11+R11+S11</f>
        <v>275.0444</v>
      </c>
      <c r="U11" s="43">
        <f t="shared" ref="U11:U29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62">
        <f t="shared" si="1"/>
        <v>297.04899999999998</v>
      </c>
      <c r="P12" s="62">
        <f t="shared" si="2"/>
        <v>50.795378999999997</v>
      </c>
      <c r="Q12" s="62">
        <f t="shared" si="3"/>
        <v>14.852449999999999</v>
      </c>
      <c r="R12" s="62">
        <f t="shared" si="4"/>
        <v>14.852449999999999</v>
      </c>
      <c r="S12" s="43">
        <v>0</v>
      </c>
      <c r="T12" s="43">
        <f t="shared" si="5"/>
        <v>377.54927899999996</v>
      </c>
      <c r="U12" s="43">
        <f t="shared" si="6"/>
        <v>2592.9407209999999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62">
        <f t="shared" si="1"/>
        <v>244.4</v>
      </c>
      <c r="P15" s="62">
        <f t="shared" si="2"/>
        <v>41.792400000000001</v>
      </c>
      <c r="Q15" s="62">
        <f t="shared" si="3"/>
        <v>12.22</v>
      </c>
      <c r="R15" s="62">
        <f t="shared" si="4"/>
        <v>12.22</v>
      </c>
      <c r="S15" s="43">
        <v>0</v>
      </c>
      <c r="T15" s="43">
        <f t="shared" si="5"/>
        <v>310.63240000000008</v>
      </c>
      <c r="U15" s="43">
        <f t="shared" si="6"/>
        <v>2133.3676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44228</v>
      </c>
      <c r="H16" s="40">
        <v>5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6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44212</v>
      </c>
      <c r="H17" s="63">
        <v>6</v>
      </c>
      <c r="I17" s="64"/>
      <c r="J17" s="14">
        <v>30</v>
      </c>
      <c r="K17" s="62">
        <v>2164</v>
      </c>
      <c r="L17" s="62"/>
      <c r="M17" s="43">
        <v>0</v>
      </c>
      <c r="N17" s="62">
        <f t="shared" si="0"/>
        <v>2164</v>
      </c>
      <c r="O17" s="62">
        <f t="shared" si="1"/>
        <v>216.4</v>
      </c>
      <c r="P17" s="62">
        <f t="shared" si="2"/>
        <v>37.004400000000004</v>
      </c>
      <c r="Q17" s="62">
        <f t="shared" si="3"/>
        <v>10.82</v>
      </c>
      <c r="R17" s="62">
        <f t="shared" si="4"/>
        <v>10.82</v>
      </c>
      <c r="S17" s="43">
        <v>0</v>
      </c>
      <c r="T17" s="43">
        <f t="shared" si="5"/>
        <v>275.0444</v>
      </c>
      <c r="U17" s="43">
        <f t="shared" si="6"/>
        <v>1888.9556</v>
      </c>
      <c r="V17" s="44"/>
      <c r="X17" s="45"/>
    </row>
    <row r="18" spans="1:26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44197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6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62">
        <f t="shared" si="1"/>
        <v>248.86</v>
      </c>
      <c r="P19" s="62">
        <f t="shared" si="2"/>
        <v>42.555059999999997</v>
      </c>
      <c r="Q19" s="62">
        <f t="shared" si="3"/>
        <v>12.443</v>
      </c>
      <c r="R19" s="62">
        <f t="shared" si="4"/>
        <v>12.443</v>
      </c>
      <c r="S19" s="43">
        <v>0</v>
      </c>
      <c r="T19" s="43">
        <f t="shared" si="5"/>
        <v>316.30106000000001</v>
      </c>
      <c r="U19" s="43">
        <f t="shared" si="6"/>
        <v>2172.2989399999997</v>
      </c>
      <c r="V19" s="44"/>
      <c r="X19" s="108"/>
    </row>
    <row r="20" spans="1:26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44228</v>
      </c>
      <c r="H20" s="40">
        <v>5</v>
      </c>
      <c r="J20" s="15">
        <v>30</v>
      </c>
      <c r="K20" s="38">
        <v>2348</v>
      </c>
      <c r="L20" s="62"/>
      <c r="M20" s="43">
        <v>0</v>
      </c>
      <c r="N20" s="62">
        <f t="shared" si="0"/>
        <v>2348</v>
      </c>
      <c r="O20" s="62">
        <f t="shared" si="1"/>
        <v>234.8</v>
      </c>
      <c r="P20" s="62">
        <f t="shared" si="2"/>
        <v>40.150800000000004</v>
      </c>
      <c r="Q20" s="62">
        <f t="shared" si="3"/>
        <v>11.74</v>
      </c>
      <c r="R20" s="62">
        <f t="shared" si="4"/>
        <v>11.74</v>
      </c>
      <c r="S20" s="43">
        <v>0</v>
      </c>
      <c r="T20" s="43">
        <f t="shared" si="5"/>
        <v>298.43080000000003</v>
      </c>
      <c r="U20" s="43">
        <f t="shared" si="6"/>
        <v>2049.5691999999999</v>
      </c>
      <c r="V20" s="44"/>
      <c r="X20" s="45"/>
    </row>
    <row r="21" spans="1:26" ht="22.5" customHeight="1">
      <c r="A21" s="57">
        <v>11</v>
      </c>
      <c r="B21" s="41" t="s">
        <v>52</v>
      </c>
      <c r="C21" s="41" t="s">
        <v>128</v>
      </c>
      <c r="D21" s="42"/>
      <c r="E21" s="14"/>
      <c r="F21" s="41" t="s">
        <v>40</v>
      </c>
      <c r="G21" s="30">
        <v>44256</v>
      </c>
      <c r="H21" s="40">
        <v>6</v>
      </c>
      <c r="J21" s="15">
        <v>30</v>
      </c>
      <c r="K21" s="38">
        <v>2291.21</v>
      </c>
      <c r="L21" s="62"/>
      <c r="M21" s="43">
        <v>0</v>
      </c>
      <c r="N21" s="62">
        <f t="shared" si="0"/>
        <v>2291.21</v>
      </c>
      <c r="O21" s="62">
        <f t="shared" si="1"/>
        <v>229.12100000000001</v>
      </c>
      <c r="P21" s="62">
        <f t="shared" si="2"/>
        <v>39.179691000000005</v>
      </c>
      <c r="Q21" s="62">
        <f t="shared" si="3"/>
        <v>11.456050000000001</v>
      </c>
      <c r="R21" s="62">
        <f t="shared" si="4"/>
        <v>11.456050000000001</v>
      </c>
      <c r="S21" s="43">
        <v>0</v>
      </c>
      <c r="T21" s="43">
        <f t="shared" si="5"/>
        <v>291.21279100000004</v>
      </c>
      <c r="U21" s="43">
        <f t="shared" si="6"/>
        <v>1999.9972090000001</v>
      </c>
      <c r="V21" s="44"/>
      <c r="X21" s="45"/>
    </row>
    <row r="22" spans="1:26" ht="22.5" customHeight="1">
      <c r="A22" s="57">
        <v>12</v>
      </c>
      <c r="B22" s="21" t="s">
        <v>96</v>
      </c>
      <c r="C22" s="21" t="s">
        <v>97</v>
      </c>
      <c r="D22" s="20"/>
      <c r="E22" s="22" t="s">
        <v>40</v>
      </c>
      <c r="F22" s="41" t="s">
        <v>40</v>
      </c>
      <c r="G22" s="30">
        <v>44197</v>
      </c>
      <c r="H22" s="63">
        <v>5</v>
      </c>
      <c r="I22" s="64"/>
      <c r="J22" s="14">
        <v>30</v>
      </c>
      <c r="K22" s="62">
        <v>2164</v>
      </c>
      <c r="L22" s="62"/>
      <c r="M22" s="43">
        <v>0</v>
      </c>
      <c r="N22" s="62">
        <f t="shared" si="0"/>
        <v>2164</v>
      </c>
      <c r="O22" s="62">
        <f t="shared" si="1"/>
        <v>216.4</v>
      </c>
      <c r="P22" s="62">
        <f t="shared" si="2"/>
        <v>37.004400000000004</v>
      </c>
      <c r="Q22" s="62">
        <f t="shared" si="3"/>
        <v>10.82</v>
      </c>
      <c r="R22" s="62">
        <f t="shared" si="4"/>
        <v>10.82</v>
      </c>
      <c r="S22" s="43">
        <v>0</v>
      </c>
      <c r="T22" s="43">
        <f t="shared" si="5"/>
        <v>275.0444</v>
      </c>
      <c r="U22" s="43">
        <f t="shared" si="6"/>
        <v>1888.9556</v>
      </c>
      <c r="V22" s="44"/>
      <c r="X22" s="45"/>
    </row>
    <row r="23" spans="1:26" ht="22.5" customHeight="1">
      <c r="A23" s="57">
        <v>13</v>
      </c>
      <c r="B23" s="41" t="s">
        <v>82</v>
      </c>
      <c r="C23" s="41" t="s">
        <v>83</v>
      </c>
      <c r="D23" s="42"/>
      <c r="E23" s="14"/>
      <c r="F23" s="41" t="s">
        <v>36</v>
      </c>
      <c r="G23" s="30">
        <v>44228</v>
      </c>
      <c r="H23" s="40">
        <v>4</v>
      </c>
      <c r="J23" s="15">
        <v>30</v>
      </c>
      <c r="K23" s="38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6" ht="22.5" customHeight="1">
      <c r="A24" s="57">
        <v>14</v>
      </c>
      <c r="B24" s="41" t="s">
        <v>35</v>
      </c>
      <c r="C24" s="41" t="s">
        <v>64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2272.42</v>
      </c>
      <c r="L24" s="62"/>
      <c r="M24" s="43">
        <v>0</v>
      </c>
      <c r="N24" s="62">
        <f t="shared" si="0"/>
        <v>2272.42</v>
      </c>
      <c r="O24" s="62">
        <f t="shared" si="1"/>
        <v>227.24200000000002</v>
      </c>
      <c r="P24" s="62">
        <f t="shared" si="2"/>
        <v>38.858382000000006</v>
      </c>
      <c r="Q24" s="62">
        <f t="shared" si="3"/>
        <v>11.3621</v>
      </c>
      <c r="R24" s="62">
        <f t="shared" si="4"/>
        <v>11.3621</v>
      </c>
      <c r="S24" s="43">
        <v>0</v>
      </c>
      <c r="T24" s="43">
        <f t="shared" si="5"/>
        <v>288.82458200000002</v>
      </c>
      <c r="U24" s="43">
        <f t="shared" si="6"/>
        <v>1983.5954180000001</v>
      </c>
      <c r="V24" s="44"/>
      <c r="X24" s="45"/>
    </row>
    <row r="25" spans="1:26" ht="22.5" customHeight="1">
      <c r="A25" s="57">
        <v>15</v>
      </c>
      <c r="B25" s="41" t="s">
        <v>41</v>
      </c>
      <c r="C25" s="41" t="s">
        <v>72</v>
      </c>
      <c r="D25" s="42"/>
      <c r="E25" s="14"/>
      <c r="F25" s="41" t="s">
        <v>73</v>
      </c>
      <c r="G25" s="30">
        <v>44228</v>
      </c>
      <c r="H25" s="40">
        <v>6</v>
      </c>
      <c r="J25" s="15">
        <v>30</v>
      </c>
      <c r="K25" s="38">
        <v>2164</v>
      </c>
      <c r="L25" s="62"/>
      <c r="M25" s="43">
        <v>0</v>
      </c>
      <c r="N25" s="62">
        <f t="shared" si="0"/>
        <v>2164</v>
      </c>
      <c r="O25" s="62">
        <f t="shared" si="1"/>
        <v>216.4</v>
      </c>
      <c r="P25" s="62">
        <f t="shared" si="2"/>
        <v>37.004400000000004</v>
      </c>
      <c r="Q25" s="62">
        <f t="shared" si="3"/>
        <v>10.82</v>
      </c>
      <c r="R25" s="62">
        <f t="shared" si="4"/>
        <v>10.82</v>
      </c>
      <c r="S25" s="43">
        <v>0</v>
      </c>
      <c r="T25" s="43">
        <f t="shared" si="5"/>
        <v>275.0444</v>
      </c>
      <c r="U25" s="43">
        <f t="shared" si="6"/>
        <v>1888.9556</v>
      </c>
      <c r="V25" s="44"/>
      <c r="X25" s="45"/>
    </row>
    <row r="26" spans="1:26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44228</v>
      </c>
      <c r="H26" s="40">
        <v>5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6" ht="22.5" customHeight="1">
      <c r="A27" s="57">
        <v>17</v>
      </c>
      <c r="B27" s="70" t="s">
        <v>50</v>
      </c>
      <c r="C27" s="70" t="s">
        <v>66</v>
      </c>
      <c r="D27" s="71"/>
      <c r="E27" s="72"/>
      <c r="F27" s="70" t="s">
        <v>51</v>
      </c>
      <c r="G27" s="73">
        <v>44228</v>
      </c>
      <c r="H27" s="74">
        <v>5</v>
      </c>
      <c r="J27" s="7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6" ht="22.5" customHeight="1">
      <c r="A28" s="57">
        <v>18</v>
      </c>
      <c r="B28" s="41" t="s">
        <v>43</v>
      </c>
      <c r="C28" s="41" t="s">
        <v>124</v>
      </c>
      <c r="D28" s="42"/>
      <c r="E28" s="14"/>
      <c r="F28" s="41" t="s">
        <v>36</v>
      </c>
      <c r="G28" s="30">
        <v>44256</v>
      </c>
      <c r="H28" s="40">
        <v>5</v>
      </c>
      <c r="I28" s="76"/>
      <c r="J28" s="75">
        <v>30</v>
      </c>
      <c r="K28" s="68">
        <v>2164</v>
      </c>
      <c r="L28" s="69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6" ht="22.5" customHeight="1">
      <c r="A29" s="57">
        <v>19</v>
      </c>
      <c r="B29" s="41" t="s">
        <v>37</v>
      </c>
      <c r="C29" s="41" t="s">
        <v>38</v>
      </c>
      <c r="D29" s="42"/>
      <c r="E29" s="14"/>
      <c r="F29" s="41" t="s">
        <v>34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6" s="18" customFormat="1" ht="21" customHeight="1">
      <c r="A30" s="33"/>
      <c r="B30" s="34"/>
      <c r="C30" s="35" t="s">
        <v>22</v>
      </c>
      <c r="D30" s="34"/>
      <c r="E30" s="36"/>
      <c r="F30" s="34"/>
      <c r="G30" s="34"/>
      <c r="H30" s="65"/>
      <c r="I30" s="65"/>
      <c r="J30" s="37"/>
      <c r="K30" s="32">
        <f>SUM(K11:K29)</f>
        <v>44018.659999999996</v>
      </c>
      <c r="L30" s="32"/>
      <c r="M30" s="32">
        <f t="shared" ref="M30" si="7">SUM(M14:M27)</f>
        <v>324.60000000000002</v>
      </c>
      <c r="N30" s="32">
        <f>SUM(N11:N29)</f>
        <v>44343.259999999995</v>
      </c>
      <c r="O30" s="32">
        <f>SUM(O11:O29)</f>
        <v>4434.3260000000009</v>
      </c>
      <c r="P30" s="32">
        <f>SUM(P11:P29)</f>
        <v>758.26974600000028</v>
      </c>
      <c r="Q30" s="32">
        <f>SUM(Q11:Q29)</f>
        <v>221.71629999999993</v>
      </c>
      <c r="R30" s="32">
        <f>SUM(R11:R29)</f>
        <v>221.71629999999993</v>
      </c>
      <c r="S30" s="32">
        <f>SUM(S14:S29)</f>
        <v>0</v>
      </c>
      <c r="T30" s="32">
        <f>SUM(T11:T29)</f>
        <v>5636.0283459999982</v>
      </c>
      <c r="U30" s="32">
        <f>SUM(U11:U29)</f>
        <v>38707.231654000003</v>
      </c>
      <c r="V30" s="19"/>
    </row>
    <row r="31" spans="1:26" s="18" customFormat="1" ht="9.75" customHeigh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23">
        <f>SUM(T30:T30)</f>
        <v>5636.0283459999982</v>
      </c>
      <c r="U31" s="23"/>
    </row>
    <row r="32" spans="1:26" s="18" customFormat="1">
      <c r="A32"/>
      <c r="B32"/>
      <c r="C32"/>
      <c r="D32"/>
      <c r="E32" s="9"/>
      <c r="F32"/>
      <c r="G32"/>
      <c r="H32"/>
      <c r="I32"/>
      <c r="J32"/>
      <c r="K32"/>
      <c r="L32"/>
      <c r="M32"/>
      <c r="N32" s="46"/>
      <c r="O32"/>
      <c r="P32"/>
      <c r="Q32"/>
      <c r="R32"/>
      <c r="S32"/>
      <c r="T32"/>
      <c r="U32"/>
      <c r="V32"/>
      <c r="Y32"/>
      <c r="Z32"/>
    </row>
    <row r="33" spans="1:22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 t="s">
        <v>141</v>
      </c>
      <c r="L34"/>
      <c r="M34"/>
      <c r="N34"/>
      <c r="O34"/>
      <c r="P34"/>
      <c r="Q34"/>
      <c r="R34"/>
      <c r="S34"/>
      <c r="T34"/>
      <c r="U34"/>
      <c r="V34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Hoja18"/>
  <dimension ref="A1:R34"/>
  <sheetViews>
    <sheetView workbookViewId="0">
      <selection activeCell="T13" sqref="T13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9" width="0.140625" hidden="1" customWidth="1"/>
    <col min="10" max="10" width="5" hidden="1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13" customWidth="1"/>
    <col min="16" max="16" width="12" customWidth="1"/>
    <col min="17" max="17" width="14.42578125" customWidth="1"/>
    <col min="18" max="18" width="17.28515625" customWidth="1"/>
  </cols>
  <sheetData>
    <row r="1" spans="1:18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51" t="s">
        <v>33</v>
      </c>
    </row>
    <row r="2" spans="1:18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51"/>
    </row>
    <row r="3" spans="1:18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</row>
    <row r="4" spans="1:18" s="26" customFormat="1" ht="12" customHeight="1">
      <c r="A4" s="237" t="s">
        <v>143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</row>
    <row r="5" spans="1:18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</row>
    <row r="6" spans="1:18" s="26" customFormat="1" ht="19.5" customHeight="1">
      <c r="A6" s="237" t="s">
        <v>144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</row>
    <row r="7" spans="1:18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</row>
    <row r="8" spans="1:18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76</v>
      </c>
      <c r="L8" s="47"/>
      <c r="M8" s="234" t="s">
        <v>11</v>
      </c>
      <c r="N8" s="234" t="s">
        <v>53</v>
      </c>
      <c r="O8" s="234" t="s">
        <v>54</v>
      </c>
      <c r="P8" s="234" t="s">
        <v>55</v>
      </c>
      <c r="Q8" s="234" t="s">
        <v>56</v>
      </c>
      <c r="R8" s="234" t="s">
        <v>14</v>
      </c>
    </row>
    <row r="9" spans="1:18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35"/>
      <c r="P9" s="235"/>
      <c r="Q9" s="235"/>
      <c r="R9" s="235"/>
    </row>
    <row r="10" spans="1:18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236"/>
      <c r="P10" s="236"/>
      <c r="Q10" s="236"/>
      <c r="R10" s="236"/>
    </row>
    <row r="11" spans="1:18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29" si="0">K11+M11</f>
        <v>2164</v>
      </c>
      <c r="O11" s="39">
        <v>11</v>
      </c>
      <c r="P11" s="39"/>
      <c r="Q11" s="43">
        <f>+N11/12*11</f>
        <v>1983.6666666666667</v>
      </c>
      <c r="R11" s="55"/>
    </row>
    <row r="12" spans="1:18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30</v>
      </c>
      <c r="K12" s="61">
        <v>2970.49</v>
      </c>
      <c r="L12" s="60"/>
      <c r="M12" s="43">
        <v>0</v>
      </c>
      <c r="N12" s="62">
        <f t="shared" si="0"/>
        <v>2970.49</v>
      </c>
      <c r="O12" s="39">
        <v>10</v>
      </c>
      <c r="P12" s="39">
        <v>14</v>
      </c>
      <c r="Q12" s="43">
        <f>+(N12/12*10)+(N12/360*14)</f>
        <v>2590.9273888888888</v>
      </c>
      <c r="R12" s="55"/>
    </row>
    <row r="13" spans="1:18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39">
        <v>10</v>
      </c>
      <c r="P13" s="39">
        <v>14</v>
      </c>
      <c r="Q13" s="43">
        <f>+(N13/12*10)+(N13/360*14)</f>
        <v>1887.4888888888891</v>
      </c>
      <c r="R13" s="55"/>
    </row>
    <row r="14" spans="1:18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39">
        <v>11</v>
      </c>
      <c r="P14" s="39"/>
      <c r="Q14" s="43">
        <f>+N14/12*11</f>
        <v>3263.8283333333329</v>
      </c>
      <c r="R14" s="44"/>
    </row>
    <row r="15" spans="1:18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30</v>
      </c>
      <c r="K15" s="38">
        <v>2444</v>
      </c>
      <c r="L15" s="62"/>
      <c r="M15" s="43">
        <v>0</v>
      </c>
      <c r="N15" s="62">
        <f t="shared" si="0"/>
        <v>2444</v>
      </c>
      <c r="O15" s="39">
        <v>10</v>
      </c>
      <c r="P15" s="39">
        <v>14</v>
      </c>
      <c r="Q15" s="43">
        <f>+(N15/12*10)+(N15/360*14)</f>
        <v>2131.7111111111108</v>
      </c>
      <c r="R15" s="44"/>
    </row>
    <row r="16" spans="1:18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44228</v>
      </c>
      <c r="H16" s="40">
        <v>5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39">
        <v>10</v>
      </c>
      <c r="P16" s="39">
        <v>14</v>
      </c>
      <c r="Q16" s="43">
        <f>+(N16/12*10)+(N16/360*14)</f>
        <v>1887.4888888888891</v>
      </c>
      <c r="R16" s="44"/>
    </row>
    <row r="17" spans="1:18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44212</v>
      </c>
      <c r="H17" s="63">
        <v>6</v>
      </c>
      <c r="I17" s="64"/>
      <c r="J17" s="14">
        <v>30</v>
      </c>
      <c r="K17" s="62">
        <v>2164</v>
      </c>
      <c r="L17" s="62"/>
      <c r="M17" s="43">
        <v>0</v>
      </c>
      <c r="N17" s="62">
        <f t="shared" si="0"/>
        <v>2164</v>
      </c>
      <c r="O17" s="39">
        <v>11</v>
      </c>
      <c r="P17" s="39"/>
      <c r="Q17" s="43">
        <f>+N17/12*11</f>
        <v>1983.6666666666667</v>
      </c>
      <c r="R17" s="44"/>
    </row>
    <row r="18" spans="1:18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44197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39">
        <v>12</v>
      </c>
      <c r="P18" s="39"/>
      <c r="Q18" s="43">
        <f>+N18</f>
        <v>2164</v>
      </c>
      <c r="R18" s="44"/>
    </row>
    <row r="19" spans="1:18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39">
        <v>12</v>
      </c>
      <c r="P19" s="39"/>
      <c r="Q19" s="43">
        <f>+N19</f>
        <v>2488.6</v>
      </c>
      <c r="R19" s="44"/>
    </row>
    <row r="20" spans="1:18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44228</v>
      </c>
      <c r="H20" s="40">
        <v>5</v>
      </c>
      <c r="J20" s="15">
        <v>30</v>
      </c>
      <c r="K20" s="38">
        <v>2348</v>
      </c>
      <c r="L20" s="62"/>
      <c r="M20" s="43">
        <v>0</v>
      </c>
      <c r="N20" s="62">
        <f t="shared" si="0"/>
        <v>2348</v>
      </c>
      <c r="O20" s="39">
        <v>10</v>
      </c>
      <c r="P20" s="39">
        <v>14</v>
      </c>
      <c r="Q20" s="43">
        <f>+(N20/12*10)+(N20/360*14)</f>
        <v>2047.9777777777776</v>
      </c>
      <c r="R20" s="44"/>
    </row>
    <row r="21" spans="1:18" ht="22.5" customHeight="1">
      <c r="A21" s="57">
        <v>11</v>
      </c>
      <c r="B21" s="41" t="s">
        <v>52</v>
      </c>
      <c r="C21" s="41" t="s">
        <v>128</v>
      </c>
      <c r="D21" s="42"/>
      <c r="E21" s="14"/>
      <c r="F21" s="41" t="s">
        <v>40</v>
      </c>
      <c r="G21" s="30">
        <v>44256</v>
      </c>
      <c r="H21" s="40">
        <v>6</v>
      </c>
      <c r="J21" s="15">
        <v>30</v>
      </c>
      <c r="K21" s="38">
        <v>2291.21</v>
      </c>
      <c r="L21" s="62"/>
      <c r="M21" s="43">
        <v>0</v>
      </c>
      <c r="N21" s="62">
        <f t="shared" si="0"/>
        <v>2291.21</v>
      </c>
      <c r="O21" s="39">
        <v>10</v>
      </c>
      <c r="P21" s="39"/>
      <c r="Q21" s="43">
        <f>+N21/12*10</f>
        <v>1909.3416666666667</v>
      </c>
      <c r="R21" s="44"/>
    </row>
    <row r="22" spans="1:18" ht="22.5" customHeight="1">
      <c r="A22" s="57">
        <v>12</v>
      </c>
      <c r="B22" s="21" t="s">
        <v>96</v>
      </c>
      <c r="C22" s="21" t="s">
        <v>97</v>
      </c>
      <c r="D22" s="20"/>
      <c r="E22" s="22" t="s">
        <v>40</v>
      </c>
      <c r="F22" s="41" t="s">
        <v>40</v>
      </c>
      <c r="G22" s="30">
        <v>44197</v>
      </c>
      <c r="H22" s="63">
        <v>5</v>
      </c>
      <c r="I22" s="64"/>
      <c r="J22" s="14">
        <v>30</v>
      </c>
      <c r="K22" s="62">
        <v>2164</v>
      </c>
      <c r="L22" s="62"/>
      <c r="M22" s="43">
        <v>0</v>
      </c>
      <c r="N22" s="62">
        <f t="shared" si="0"/>
        <v>2164</v>
      </c>
      <c r="O22" s="39">
        <v>12</v>
      </c>
      <c r="P22" s="39"/>
      <c r="Q22" s="43">
        <f>+N22</f>
        <v>2164</v>
      </c>
      <c r="R22" s="44"/>
    </row>
    <row r="23" spans="1:18" ht="22.5" customHeight="1">
      <c r="A23" s="57">
        <v>13</v>
      </c>
      <c r="B23" s="41" t="s">
        <v>82</v>
      </c>
      <c r="C23" s="41" t="s">
        <v>83</v>
      </c>
      <c r="D23" s="42"/>
      <c r="E23" s="14"/>
      <c r="F23" s="41" t="s">
        <v>36</v>
      </c>
      <c r="G23" s="30">
        <v>44228</v>
      </c>
      <c r="H23" s="40">
        <v>4</v>
      </c>
      <c r="J23" s="15">
        <v>30</v>
      </c>
      <c r="K23" s="38">
        <v>2164</v>
      </c>
      <c r="L23" s="62"/>
      <c r="M23" s="43">
        <v>0</v>
      </c>
      <c r="N23" s="62">
        <f t="shared" si="0"/>
        <v>2164</v>
      </c>
      <c r="O23" s="39">
        <v>10</v>
      </c>
      <c r="P23" s="39">
        <v>14</v>
      </c>
      <c r="Q23" s="43">
        <f>+(N23/12*10)+(N23/360*14)</f>
        <v>1887.4888888888891</v>
      </c>
      <c r="R23" s="44"/>
    </row>
    <row r="24" spans="1:18" ht="22.5" customHeight="1">
      <c r="A24" s="57">
        <v>14</v>
      </c>
      <c r="B24" s="41" t="s">
        <v>35</v>
      </c>
      <c r="C24" s="41" t="s">
        <v>64</v>
      </c>
      <c r="D24" s="42"/>
      <c r="E24" s="14"/>
      <c r="F24" s="41" t="s">
        <v>36</v>
      </c>
      <c r="G24" s="30">
        <v>44228</v>
      </c>
      <c r="H24" s="40">
        <v>4</v>
      </c>
      <c r="J24" s="15">
        <v>30</v>
      </c>
      <c r="K24" s="38">
        <v>2272.42</v>
      </c>
      <c r="L24" s="62"/>
      <c r="M24" s="43">
        <v>0</v>
      </c>
      <c r="N24" s="62">
        <f t="shared" si="0"/>
        <v>2272.42</v>
      </c>
      <c r="O24" s="39">
        <v>10</v>
      </c>
      <c r="P24" s="39">
        <v>14</v>
      </c>
      <c r="Q24" s="43">
        <f>+(N24/12*10)+(N24/360*14)</f>
        <v>1982.0552222222223</v>
      </c>
      <c r="R24" s="44"/>
    </row>
    <row r="25" spans="1:18" ht="22.5" customHeight="1">
      <c r="A25" s="57">
        <v>15</v>
      </c>
      <c r="B25" s="41" t="s">
        <v>41</v>
      </c>
      <c r="C25" s="41" t="s">
        <v>72</v>
      </c>
      <c r="D25" s="42"/>
      <c r="E25" s="14"/>
      <c r="F25" s="41" t="s">
        <v>73</v>
      </c>
      <c r="G25" s="30">
        <v>44228</v>
      </c>
      <c r="H25" s="40">
        <v>6</v>
      </c>
      <c r="J25" s="15">
        <v>30</v>
      </c>
      <c r="K25" s="38">
        <v>2164</v>
      </c>
      <c r="L25" s="62"/>
      <c r="M25" s="43">
        <v>0</v>
      </c>
      <c r="N25" s="62">
        <f t="shared" si="0"/>
        <v>2164</v>
      </c>
      <c r="O25" s="39">
        <v>10</v>
      </c>
      <c r="P25" s="39">
        <v>14</v>
      </c>
      <c r="Q25" s="43">
        <f>+(N25/12*10)+(N25/360*14)</f>
        <v>1887.4888888888891</v>
      </c>
      <c r="R25" s="44"/>
    </row>
    <row r="26" spans="1:18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44228</v>
      </c>
      <c r="H26" s="40">
        <v>5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39">
        <v>10</v>
      </c>
      <c r="P26" s="39">
        <v>14</v>
      </c>
      <c r="Q26" s="43">
        <f>+(N26/12*10)+(N26/360*14)</f>
        <v>1887.4888888888891</v>
      </c>
      <c r="R26" s="44"/>
    </row>
    <row r="27" spans="1:18" ht="22.5" customHeight="1">
      <c r="A27" s="57">
        <v>17</v>
      </c>
      <c r="B27" s="70" t="s">
        <v>50</v>
      </c>
      <c r="C27" s="70" t="s">
        <v>66</v>
      </c>
      <c r="D27" s="71"/>
      <c r="E27" s="72"/>
      <c r="F27" s="70" t="s">
        <v>51</v>
      </c>
      <c r="G27" s="73">
        <v>44228</v>
      </c>
      <c r="H27" s="74">
        <v>5</v>
      </c>
      <c r="J27" s="75">
        <v>30</v>
      </c>
      <c r="K27" s="38">
        <v>2164</v>
      </c>
      <c r="L27" s="62"/>
      <c r="M27" s="43">
        <v>0</v>
      </c>
      <c r="N27" s="62">
        <f t="shared" si="0"/>
        <v>2164</v>
      </c>
      <c r="O27" s="39">
        <v>10</v>
      </c>
      <c r="P27" s="39">
        <v>14</v>
      </c>
      <c r="Q27" s="43">
        <f>+(N27/12*10)+(N27/360*14)</f>
        <v>1887.4888888888891</v>
      </c>
      <c r="R27" s="44"/>
    </row>
    <row r="28" spans="1:18" ht="22.5" customHeight="1">
      <c r="A28" s="57">
        <v>18</v>
      </c>
      <c r="B28" s="41" t="s">
        <v>43</v>
      </c>
      <c r="C28" s="41" t="s">
        <v>124</v>
      </c>
      <c r="D28" s="42"/>
      <c r="E28" s="14"/>
      <c r="F28" s="41" t="s">
        <v>36</v>
      </c>
      <c r="G28" s="30">
        <v>44256</v>
      </c>
      <c r="H28" s="40">
        <v>5</v>
      </c>
      <c r="I28" s="76"/>
      <c r="J28" s="75">
        <v>30</v>
      </c>
      <c r="K28" s="68">
        <v>2164</v>
      </c>
      <c r="L28" s="69"/>
      <c r="M28" s="43">
        <v>0</v>
      </c>
      <c r="N28" s="62">
        <f t="shared" si="0"/>
        <v>2164</v>
      </c>
      <c r="O28" s="39">
        <v>10</v>
      </c>
      <c r="P28" s="39"/>
      <c r="Q28" s="43">
        <f>+N28/12*10</f>
        <v>1803.3333333333335</v>
      </c>
      <c r="R28" s="44"/>
    </row>
    <row r="29" spans="1:18" ht="22.5" customHeight="1">
      <c r="A29" s="57">
        <v>19</v>
      </c>
      <c r="B29" s="41" t="s">
        <v>37</v>
      </c>
      <c r="C29" s="41" t="s">
        <v>38</v>
      </c>
      <c r="D29" s="42"/>
      <c r="E29" s="14"/>
      <c r="F29" s="41" t="s">
        <v>34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39">
        <v>10</v>
      </c>
      <c r="P29" s="39"/>
      <c r="Q29" s="43">
        <f>+N29/12*10</f>
        <v>1803.3333333333335</v>
      </c>
      <c r="R29" s="44"/>
    </row>
    <row r="30" spans="1:18" s="18" customFormat="1" ht="21" customHeight="1">
      <c r="A30" s="33"/>
      <c r="B30" s="34"/>
      <c r="C30" s="35" t="s">
        <v>22</v>
      </c>
      <c r="D30" s="34"/>
      <c r="E30" s="36"/>
      <c r="F30" s="34"/>
      <c r="G30" s="34"/>
      <c r="H30" s="65"/>
      <c r="I30" s="65"/>
      <c r="J30" s="37"/>
      <c r="K30" s="32">
        <f>SUM(K11:K29)</f>
        <v>44018.659999999996</v>
      </c>
      <c r="L30" s="32"/>
      <c r="M30" s="32">
        <f t="shared" ref="M30" si="1">SUM(M14:M27)</f>
        <v>324.60000000000002</v>
      </c>
      <c r="N30" s="32">
        <f>SUM(N11:N29)</f>
        <v>44343.259999999995</v>
      </c>
      <c r="O30" s="76"/>
      <c r="P30" s="76"/>
      <c r="Q30" s="19">
        <f>SUM(Q11:Q29)</f>
        <v>39641.374833333342</v>
      </c>
      <c r="R30" s="19"/>
    </row>
    <row r="31" spans="1:18" s="18" customFormat="1" ht="9.75" customHeigh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</row>
    <row r="32" spans="1:18" s="18" customFormat="1">
      <c r="A32"/>
      <c r="B32"/>
      <c r="C32"/>
      <c r="D32"/>
      <c r="E32" s="9"/>
      <c r="F32"/>
      <c r="G32"/>
      <c r="H32"/>
      <c r="I32"/>
      <c r="J32"/>
      <c r="K32"/>
      <c r="L32"/>
      <c r="M32"/>
      <c r="N32" s="46"/>
      <c r="O32"/>
      <c r="P32"/>
      <c r="Q32"/>
      <c r="R32"/>
    </row>
    <row r="33" spans="1:18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s="18" customFormat="1">
      <c r="A34"/>
      <c r="B34"/>
      <c r="C34"/>
      <c r="D34"/>
      <c r="E34" s="9"/>
      <c r="F34"/>
      <c r="G34"/>
      <c r="H34"/>
      <c r="I34"/>
      <c r="J34"/>
      <c r="K34" t="s">
        <v>142</v>
      </c>
      <c r="L34"/>
      <c r="M34"/>
      <c r="N34"/>
      <c r="O34"/>
      <c r="P34"/>
      <c r="Q34"/>
      <c r="R34"/>
    </row>
  </sheetData>
  <mergeCells count="17">
    <mergeCell ref="N8:N10"/>
    <mergeCell ref="A4:R4"/>
    <mergeCell ref="A5:R5"/>
    <mergeCell ref="A6:R6"/>
    <mergeCell ref="A8:A10"/>
    <mergeCell ref="B8:B10"/>
    <mergeCell ref="C8:C10"/>
    <mergeCell ref="D8:D10"/>
    <mergeCell ref="E8:E10"/>
    <mergeCell ref="F8:F10"/>
    <mergeCell ref="G8:G10"/>
    <mergeCell ref="O8:O10"/>
    <mergeCell ref="P8:P10"/>
    <mergeCell ref="Q8:Q10"/>
    <mergeCell ref="R8:R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Hoja19"/>
  <dimension ref="A1:Z34"/>
  <sheetViews>
    <sheetView topLeftCell="A4" zoomScale="120" zoomScaleNormal="120" workbookViewId="0">
      <selection activeCell="N37" sqref="N37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140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44228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29" si="0">K11+M11</f>
        <v>2164</v>
      </c>
      <c r="O11" s="62">
        <f t="shared" ref="O11:O29" si="1">+N11*0.1</f>
        <v>216.4</v>
      </c>
      <c r="P11" s="62">
        <f t="shared" ref="P11:P29" si="2">+N11*0.0171</f>
        <v>37.004400000000004</v>
      </c>
      <c r="Q11" s="62">
        <f t="shared" ref="Q11:Q29" si="3">+N11*0.005</f>
        <v>10.82</v>
      </c>
      <c r="R11" s="62">
        <f t="shared" ref="R11:R29" si="4">N11*0.5%</f>
        <v>10.82</v>
      </c>
      <c r="S11" s="43">
        <v>0</v>
      </c>
      <c r="T11" s="43">
        <f t="shared" ref="T11:T29" si="5">+O11+P11+Q11+R11+S11</f>
        <v>275.0444</v>
      </c>
      <c r="U11" s="43">
        <f t="shared" ref="U11:U29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44228</v>
      </c>
      <c r="H12" s="14">
        <v>6</v>
      </c>
      <c r="I12" s="45"/>
      <c r="J12" s="58">
        <v>14</v>
      </c>
      <c r="K12" s="61">
        <f>2970.49/30*14</f>
        <v>1386.2286666666664</v>
      </c>
      <c r="L12" s="60"/>
      <c r="M12" s="43">
        <v>0</v>
      </c>
      <c r="N12" s="62">
        <f t="shared" si="0"/>
        <v>1386.2286666666664</v>
      </c>
      <c r="O12" s="62">
        <f t="shared" si="1"/>
        <v>138.62286666666665</v>
      </c>
      <c r="P12" s="62">
        <f t="shared" si="2"/>
        <v>23.704510199999998</v>
      </c>
      <c r="Q12" s="62">
        <f t="shared" si="3"/>
        <v>6.9311433333333321</v>
      </c>
      <c r="R12" s="62">
        <f t="shared" si="4"/>
        <v>6.9311433333333321</v>
      </c>
      <c r="S12" s="43">
        <v>0</v>
      </c>
      <c r="T12" s="43">
        <f t="shared" si="5"/>
        <v>176.18966353333329</v>
      </c>
      <c r="U12" s="43">
        <f t="shared" si="6"/>
        <v>1210.0390031333332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44228</v>
      </c>
      <c r="H13" s="63">
        <v>5</v>
      </c>
      <c r="I13" s="64"/>
      <c r="J13" s="14">
        <v>14</v>
      </c>
      <c r="K13" s="62">
        <f>72.1333333333333*14</f>
        <v>1009.8666666666661</v>
      </c>
      <c r="L13" s="60"/>
      <c r="M13" s="43">
        <v>0</v>
      </c>
      <c r="N13" s="62">
        <f t="shared" si="0"/>
        <v>1009.8666666666661</v>
      </c>
      <c r="O13" s="62">
        <f t="shared" si="1"/>
        <v>100.98666666666662</v>
      </c>
      <c r="P13" s="62">
        <f t="shared" si="2"/>
        <v>17.268719999999991</v>
      </c>
      <c r="Q13" s="62">
        <f t="shared" si="3"/>
        <v>5.0493333333333306</v>
      </c>
      <c r="R13" s="62">
        <f t="shared" si="4"/>
        <v>5.0493333333333306</v>
      </c>
      <c r="S13" s="43">
        <v>0</v>
      </c>
      <c r="T13" s="43">
        <f t="shared" si="5"/>
        <v>128.35405333333327</v>
      </c>
      <c r="U13" s="43">
        <f t="shared" si="6"/>
        <v>881.51261333333287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44212</v>
      </c>
      <c r="H14" s="63">
        <v>6</v>
      </c>
      <c r="I14" s="64"/>
      <c r="J14" s="14">
        <v>14</v>
      </c>
      <c r="K14" s="62">
        <f>3560.54/30*14</f>
        <v>1661.5853333333334</v>
      </c>
      <c r="L14" s="62"/>
      <c r="M14" s="43">
        <v>0</v>
      </c>
      <c r="N14" s="62">
        <f t="shared" si="0"/>
        <v>1661.5853333333334</v>
      </c>
      <c r="O14" s="62">
        <f t="shared" si="1"/>
        <v>166.15853333333337</v>
      </c>
      <c r="P14" s="62">
        <f t="shared" si="2"/>
        <v>28.413109200000005</v>
      </c>
      <c r="Q14" s="62">
        <f t="shared" si="3"/>
        <v>8.3079266666666669</v>
      </c>
      <c r="R14" s="62">
        <f t="shared" si="4"/>
        <v>8.3079266666666669</v>
      </c>
      <c r="S14" s="43">
        <v>0</v>
      </c>
      <c r="T14" s="43">
        <f t="shared" si="5"/>
        <v>211.18749586666672</v>
      </c>
      <c r="U14" s="43">
        <f t="shared" si="6"/>
        <v>1450.3978374666667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81</v>
      </c>
      <c r="G15" s="30">
        <v>44228</v>
      </c>
      <c r="H15" s="40">
        <v>6</v>
      </c>
      <c r="J15" s="15">
        <v>14</v>
      </c>
      <c r="K15" s="38">
        <f>81.4666666666667*14</f>
        <v>1140.5333333333338</v>
      </c>
      <c r="L15" s="62"/>
      <c r="M15" s="43">
        <v>0</v>
      </c>
      <c r="N15" s="62">
        <f t="shared" si="0"/>
        <v>1140.5333333333338</v>
      </c>
      <c r="O15" s="62">
        <f t="shared" si="1"/>
        <v>114.05333333333338</v>
      </c>
      <c r="P15" s="62">
        <f t="shared" si="2"/>
        <v>19.503120000000006</v>
      </c>
      <c r="Q15" s="62">
        <f t="shared" si="3"/>
        <v>5.7026666666666692</v>
      </c>
      <c r="R15" s="62">
        <f t="shared" si="4"/>
        <v>5.7026666666666692</v>
      </c>
      <c r="S15" s="43">
        <v>0</v>
      </c>
      <c r="T15" s="43">
        <f t="shared" si="5"/>
        <v>144.96178666666671</v>
      </c>
      <c r="U15" s="43">
        <f t="shared" si="6"/>
        <v>995.57154666666702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44228</v>
      </c>
      <c r="H16" s="40">
        <v>5</v>
      </c>
      <c r="J16" s="15">
        <v>14</v>
      </c>
      <c r="K16" s="38">
        <f>72.1333333333333*14</f>
        <v>1009.8666666666661</v>
      </c>
      <c r="L16" s="62"/>
      <c r="M16" s="43">
        <v>0</v>
      </c>
      <c r="N16" s="62">
        <f t="shared" si="0"/>
        <v>1009.8666666666661</v>
      </c>
      <c r="O16" s="62">
        <f t="shared" si="1"/>
        <v>100.98666666666662</v>
      </c>
      <c r="P16" s="62">
        <f t="shared" si="2"/>
        <v>17.268719999999991</v>
      </c>
      <c r="Q16" s="62">
        <f t="shared" si="3"/>
        <v>5.0493333333333306</v>
      </c>
      <c r="R16" s="62">
        <f t="shared" si="4"/>
        <v>5.0493333333333306</v>
      </c>
      <c r="S16" s="43">
        <v>0</v>
      </c>
      <c r="T16" s="43">
        <f t="shared" si="5"/>
        <v>128.35405333333327</v>
      </c>
      <c r="U16" s="43">
        <f t="shared" si="6"/>
        <v>881.51261333333287</v>
      </c>
      <c r="V16" s="44"/>
      <c r="X16" s="45"/>
    </row>
    <row r="17" spans="1:26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44212</v>
      </c>
      <c r="H17" s="63">
        <v>6</v>
      </c>
      <c r="I17" s="64"/>
      <c r="J17" s="14">
        <v>14</v>
      </c>
      <c r="K17" s="38">
        <f>72.1333333333333*14</f>
        <v>1009.8666666666661</v>
      </c>
      <c r="L17" s="62"/>
      <c r="M17" s="43">
        <v>0</v>
      </c>
      <c r="N17" s="62">
        <f t="shared" si="0"/>
        <v>1009.8666666666661</v>
      </c>
      <c r="O17" s="62">
        <f t="shared" si="1"/>
        <v>100.98666666666662</v>
      </c>
      <c r="P17" s="62">
        <f t="shared" si="2"/>
        <v>17.268719999999991</v>
      </c>
      <c r="Q17" s="62">
        <f t="shared" si="3"/>
        <v>5.0493333333333306</v>
      </c>
      <c r="R17" s="62">
        <f t="shared" si="4"/>
        <v>5.0493333333333306</v>
      </c>
      <c r="S17" s="43">
        <v>0</v>
      </c>
      <c r="T17" s="43">
        <f t="shared" si="5"/>
        <v>128.35405333333327</v>
      </c>
      <c r="U17" s="43">
        <f t="shared" si="6"/>
        <v>881.51261333333287</v>
      </c>
      <c r="V17" s="44"/>
      <c r="X17" s="45"/>
    </row>
    <row r="18" spans="1:26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44197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6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62">
        <f t="shared" si="1"/>
        <v>248.86</v>
      </c>
      <c r="P19" s="62">
        <f t="shared" si="2"/>
        <v>42.555059999999997</v>
      </c>
      <c r="Q19" s="62">
        <f t="shared" si="3"/>
        <v>12.443</v>
      </c>
      <c r="R19" s="62">
        <f t="shared" si="4"/>
        <v>12.443</v>
      </c>
      <c r="S19" s="43">
        <v>0</v>
      </c>
      <c r="T19" s="43">
        <f t="shared" si="5"/>
        <v>316.30106000000001</v>
      </c>
      <c r="U19" s="43">
        <f t="shared" si="6"/>
        <v>2172.2989399999997</v>
      </c>
      <c r="V19" s="44"/>
      <c r="X19" s="108"/>
    </row>
    <row r="20" spans="1:26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44228</v>
      </c>
      <c r="H20" s="40">
        <v>5</v>
      </c>
      <c r="J20" s="15">
        <v>14</v>
      </c>
      <c r="K20" s="38">
        <f>78.2666666666667*14</f>
        <v>1095.7333333333338</v>
      </c>
      <c r="L20" s="62"/>
      <c r="M20" s="43">
        <v>0</v>
      </c>
      <c r="N20" s="62">
        <f t="shared" si="0"/>
        <v>1095.7333333333338</v>
      </c>
      <c r="O20" s="62">
        <f t="shared" si="1"/>
        <v>109.57333333333338</v>
      </c>
      <c r="P20" s="62">
        <f t="shared" si="2"/>
        <v>18.737040000000007</v>
      </c>
      <c r="Q20" s="62">
        <f t="shared" si="3"/>
        <v>5.478666666666669</v>
      </c>
      <c r="R20" s="62">
        <f t="shared" si="4"/>
        <v>5.478666666666669</v>
      </c>
      <c r="S20" s="43">
        <v>0</v>
      </c>
      <c r="T20" s="43">
        <f t="shared" si="5"/>
        <v>139.26770666666673</v>
      </c>
      <c r="U20" s="43">
        <f t="shared" si="6"/>
        <v>956.46562666666705</v>
      </c>
      <c r="V20" s="44"/>
      <c r="X20" s="45"/>
    </row>
    <row r="21" spans="1:26" ht="22.5" customHeight="1">
      <c r="A21" s="57">
        <v>11</v>
      </c>
      <c r="B21" s="41" t="s">
        <v>52</v>
      </c>
      <c r="C21" s="41" t="s">
        <v>128</v>
      </c>
      <c r="D21" s="42"/>
      <c r="E21" s="14"/>
      <c r="F21" s="41" t="s">
        <v>40</v>
      </c>
      <c r="G21" s="30">
        <v>44256</v>
      </c>
      <c r="H21" s="40">
        <v>6</v>
      </c>
      <c r="J21" s="15">
        <v>30</v>
      </c>
      <c r="K21" s="38">
        <v>2291.21</v>
      </c>
      <c r="L21" s="62"/>
      <c r="M21" s="43">
        <v>0</v>
      </c>
      <c r="N21" s="62">
        <f t="shared" si="0"/>
        <v>2291.21</v>
      </c>
      <c r="O21" s="62">
        <f t="shared" si="1"/>
        <v>229.12100000000001</v>
      </c>
      <c r="P21" s="62">
        <f t="shared" si="2"/>
        <v>39.179691000000005</v>
      </c>
      <c r="Q21" s="62">
        <f t="shared" si="3"/>
        <v>11.456050000000001</v>
      </c>
      <c r="R21" s="62">
        <f t="shared" si="4"/>
        <v>11.456050000000001</v>
      </c>
      <c r="S21" s="43">
        <v>0</v>
      </c>
      <c r="T21" s="43">
        <f t="shared" si="5"/>
        <v>291.21279100000004</v>
      </c>
      <c r="U21" s="43">
        <f t="shared" si="6"/>
        <v>1999.9972090000001</v>
      </c>
      <c r="V21" s="44"/>
      <c r="X21" s="45"/>
    </row>
    <row r="22" spans="1:26" ht="22.5" customHeight="1">
      <c r="A22" s="57">
        <v>12</v>
      </c>
      <c r="B22" s="21" t="s">
        <v>96</v>
      </c>
      <c r="C22" s="21" t="s">
        <v>97</v>
      </c>
      <c r="D22" s="20"/>
      <c r="E22" s="22" t="s">
        <v>40</v>
      </c>
      <c r="F22" s="41" t="s">
        <v>40</v>
      </c>
      <c r="G22" s="30">
        <v>44197</v>
      </c>
      <c r="H22" s="63">
        <v>5</v>
      </c>
      <c r="I22" s="64"/>
      <c r="J22" s="14">
        <v>30</v>
      </c>
      <c r="K22" s="62">
        <v>2164</v>
      </c>
      <c r="L22" s="62"/>
      <c r="M22" s="43">
        <v>0</v>
      </c>
      <c r="N22" s="62">
        <f t="shared" si="0"/>
        <v>2164</v>
      </c>
      <c r="O22" s="62">
        <f t="shared" si="1"/>
        <v>216.4</v>
      </c>
      <c r="P22" s="62">
        <f t="shared" si="2"/>
        <v>37.004400000000004</v>
      </c>
      <c r="Q22" s="62">
        <f t="shared" si="3"/>
        <v>10.82</v>
      </c>
      <c r="R22" s="62">
        <f t="shared" si="4"/>
        <v>10.82</v>
      </c>
      <c r="S22" s="43">
        <v>0</v>
      </c>
      <c r="T22" s="43">
        <f t="shared" si="5"/>
        <v>275.0444</v>
      </c>
      <c r="U22" s="43">
        <f t="shared" si="6"/>
        <v>1888.9556</v>
      </c>
      <c r="V22" s="44"/>
      <c r="X22" s="45"/>
    </row>
    <row r="23" spans="1:26" ht="22.5" customHeight="1">
      <c r="A23" s="57">
        <v>13</v>
      </c>
      <c r="B23" s="41" t="s">
        <v>82</v>
      </c>
      <c r="C23" s="41" t="s">
        <v>83</v>
      </c>
      <c r="D23" s="42"/>
      <c r="E23" s="14"/>
      <c r="F23" s="41" t="s">
        <v>36</v>
      </c>
      <c r="G23" s="30">
        <v>44228</v>
      </c>
      <c r="H23" s="40">
        <v>4</v>
      </c>
      <c r="J23" s="15">
        <v>14</v>
      </c>
      <c r="K23" s="38">
        <f>72.1333333333333*14</f>
        <v>1009.8666666666661</v>
      </c>
      <c r="L23" s="62"/>
      <c r="M23" s="43">
        <v>0</v>
      </c>
      <c r="N23" s="62">
        <f t="shared" si="0"/>
        <v>1009.8666666666661</v>
      </c>
      <c r="O23" s="62">
        <f t="shared" si="1"/>
        <v>100.98666666666662</v>
      </c>
      <c r="P23" s="62">
        <f t="shared" si="2"/>
        <v>17.268719999999991</v>
      </c>
      <c r="Q23" s="62">
        <f t="shared" si="3"/>
        <v>5.0493333333333306</v>
      </c>
      <c r="R23" s="62">
        <f t="shared" si="4"/>
        <v>5.0493333333333306</v>
      </c>
      <c r="S23" s="43">
        <v>0</v>
      </c>
      <c r="T23" s="43">
        <f t="shared" si="5"/>
        <v>128.35405333333327</v>
      </c>
      <c r="U23" s="43">
        <f t="shared" si="6"/>
        <v>881.51261333333287</v>
      </c>
      <c r="V23" s="44"/>
      <c r="X23" s="45"/>
    </row>
    <row r="24" spans="1:26" ht="22.5" customHeight="1">
      <c r="A24" s="57">
        <v>14</v>
      </c>
      <c r="B24" s="41" t="s">
        <v>35</v>
      </c>
      <c r="C24" s="41" t="s">
        <v>64</v>
      </c>
      <c r="D24" s="42"/>
      <c r="E24" s="14"/>
      <c r="F24" s="41" t="s">
        <v>36</v>
      </c>
      <c r="G24" s="30">
        <v>44228</v>
      </c>
      <c r="H24" s="40">
        <v>4</v>
      </c>
      <c r="J24" s="15">
        <v>14</v>
      </c>
      <c r="K24" s="38">
        <f>2272.42/30*14</f>
        <v>1060.4626666666666</v>
      </c>
      <c r="L24" s="62"/>
      <c r="M24" s="43">
        <v>0</v>
      </c>
      <c r="N24" s="62">
        <f t="shared" si="0"/>
        <v>1060.4626666666666</v>
      </c>
      <c r="O24" s="62">
        <f t="shared" si="1"/>
        <v>106.04626666666667</v>
      </c>
      <c r="P24" s="62">
        <f t="shared" si="2"/>
        <v>18.133911599999998</v>
      </c>
      <c r="Q24" s="62">
        <f t="shared" si="3"/>
        <v>5.3023133333333332</v>
      </c>
      <c r="R24" s="62">
        <f t="shared" si="4"/>
        <v>5.3023133333333332</v>
      </c>
      <c r="S24" s="43">
        <v>0</v>
      </c>
      <c r="T24" s="43">
        <f t="shared" si="5"/>
        <v>134.78480493333333</v>
      </c>
      <c r="U24" s="43">
        <f t="shared" si="6"/>
        <v>925.6778617333332</v>
      </c>
      <c r="V24" s="44"/>
      <c r="X24" s="45"/>
    </row>
    <row r="25" spans="1:26" ht="22.5" customHeight="1">
      <c r="A25" s="57">
        <v>15</v>
      </c>
      <c r="B25" s="41" t="s">
        <v>41</v>
      </c>
      <c r="C25" s="41" t="s">
        <v>72</v>
      </c>
      <c r="D25" s="42"/>
      <c r="E25" s="14"/>
      <c r="F25" s="41" t="s">
        <v>73</v>
      </c>
      <c r="G25" s="30">
        <v>44228</v>
      </c>
      <c r="H25" s="40">
        <v>6</v>
      </c>
      <c r="J25" s="15">
        <v>14</v>
      </c>
      <c r="K25" s="38">
        <f>72.1333333333333*14</f>
        <v>1009.8666666666661</v>
      </c>
      <c r="L25" s="62"/>
      <c r="M25" s="43">
        <v>0</v>
      </c>
      <c r="N25" s="62">
        <f t="shared" si="0"/>
        <v>1009.8666666666661</v>
      </c>
      <c r="O25" s="62">
        <f t="shared" si="1"/>
        <v>100.98666666666662</v>
      </c>
      <c r="P25" s="62">
        <f t="shared" si="2"/>
        <v>17.268719999999991</v>
      </c>
      <c r="Q25" s="62">
        <f t="shared" si="3"/>
        <v>5.0493333333333306</v>
      </c>
      <c r="R25" s="62">
        <f t="shared" si="4"/>
        <v>5.0493333333333306</v>
      </c>
      <c r="S25" s="43">
        <v>0</v>
      </c>
      <c r="T25" s="43">
        <f t="shared" si="5"/>
        <v>128.35405333333327</v>
      </c>
      <c r="U25" s="43">
        <f t="shared" si="6"/>
        <v>881.51261333333287</v>
      </c>
      <c r="V25" s="44"/>
      <c r="X25" s="45"/>
    </row>
    <row r="26" spans="1:26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44228</v>
      </c>
      <c r="H26" s="40">
        <v>5</v>
      </c>
      <c r="J26" s="15">
        <v>14</v>
      </c>
      <c r="K26" s="38">
        <f>72.1333333333333*14</f>
        <v>1009.8666666666661</v>
      </c>
      <c r="L26" s="62"/>
      <c r="M26" s="43">
        <v>0</v>
      </c>
      <c r="N26" s="62">
        <f t="shared" si="0"/>
        <v>1009.8666666666661</v>
      </c>
      <c r="O26" s="62">
        <f t="shared" si="1"/>
        <v>100.98666666666662</v>
      </c>
      <c r="P26" s="62">
        <f t="shared" si="2"/>
        <v>17.268719999999991</v>
      </c>
      <c r="Q26" s="62">
        <f t="shared" si="3"/>
        <v>5.0493333333333306</v>
      </c>
      <c r="R26" s="62">
        <f t="shared" si="4"/>
        <v>5.0493333333333306</v>
      </c>
      <c r="S26" s="43">
        <v>0</v>
      </c>
      <c r="T26" s="43">
        <f t="shared" si="5"/>
        <v>128.35405333333327</v>
      </c>
      <c r="U26" s="43">
        <f t="shared" si="6"/>
        <v>881.51261333333287</v>
      </c>
      <c r="V26" s="44"/>
      <c r="X26" s="45"/>
    </row>
    <row r="27" spans="1:26" ht="22.5" customHeight="1">
      <c r="A27" s="57">
        <v>17</v>
      </c>
      <c r="B27" s="70" t="s">
        <v>50</v>
      </c>
      <c r="C27" s="70" t="s">
        <v>66</v>
      </c>
      <c r="D27" s="71"/>
      <c r="E27" s="72"/>
      <c r="F27" s="70" t="s">
        <v>51</v>
      </c>
      <c r="G27" s="73">
        <v>44228</v>
      </c>
      <c r="H27" s="74">
        <v>5</v>
      </c>
      <c r="J27" s="75">
        <v>14</v>
      </c>
      <c r="K27" s="38">
        <f>72.1333333333333*14</f>
        <v>1009.8666666666661</v>
      </c>
      <c r="L27" s="62"/>
      <c r="M27" s="43">
        <v>0</v>
      </c>
      <c r="N27" s="62">
        <f t="shared" si="0"/>
        <v>1009.8666666666661</v>
      </c>
      <c r="O27" s="62">
        <f t="shared" si="1"/>
        <v>100.98666666666662</v>
      </c>
      <c r="P27" s="62">
        <f t="shared" si="2"/>
        <v>17.268719999999991</v>
      </c>
      <c r="Q27" s="62">
        <f t="shared" si="3"/>
        <v>5.0493333333333306</v>
      </c>
      <c r="R27" s="62">
        <f t="shared" si="4"/>
        <v>5.0493333333333306</v>
      </c>
      <c r="S27" s="43">
        <v>0</v>
      </c>
      <c r="T27" s="43">
        <f t="shared" si="5"/>
        <v>128.35405333333327</v>
      </c>
      <c r="U27" s="43">
        <f t="shared" si="6"/>
        <v>881.51261333333287</v>
      </c>
      <c r="V27" s="44"/>
      <c r="X27" s="45"/>
    </row>
    <row r="28" spans="1:26" ht="22.5" customHeight="1">
      <c r="A28" s="57">
        <v>18</v>
      </c>
      <c r="B28" s="41" t="s">
        <v>43</v>
      </c>
      <c r="C28" s="41" t="s">
        <v>124</v>
      </c>
      <c r="D28" s="42"/>
      <c r="E28" s="14"/>
      <c r="F28" s="41" t="s">
        <v>36</v>
      </c>
      <c r="G28" s="30">
        <v>44256</v>
      </c>
      <c r="H28" s="40">
        <v>5</v>
      </c>
      <c r="I28" s="76"/>
      <c r="J28" s="75">
        <v>30</v>
      </c>
      <c r="K28" s="68">
        <v>2164</v>
      </c>
      <c r="L28" s="69"/>
      <c r="M28" s="43">
        <v>0</v>
      </c>
      <c r="N28" s="62">
        <f t="shared" si="0"/>
        <v>2164</v>
      </c>
      <c r="O28" s="62">
        <f t="shared" si="1"/>
        <v>216.4</v>
      </c>
      <c r="P28" s="62">
        <f t="shared" si="2"/>
        <v>37.004400000000004</v>
      </c>
      <c r="Q28" s="62">
        <f t="shared" si="3"/>
        <v>10.82</v>
      </c>
      <c r="R28" s="62">
        <f t="shared" si="4"/>
        <v>10.82</v>
      </c>
      <c r="S28" s="43">
        <v>0</v>
      </c>
      <c r="T28" s="43">
        <f t="shared" si="5"/>
        <v>275.0444</v>
      </c>
      <c r="U28" s="43">
        <f t="shared" si="6"/>
        <v>1888.9556</v>
      </c>
      <c r="V28" s="44"/>
      <c r="X28" s="45"/>
    </row>
    <row r="29" spans="1:26" ht="22.5" customHeight="1">
      <c r="A29" s="57">
        <v>19</v>
      </c>
      <c r="B29" s="41" t="s">
        <v>37</v>
      </c>
      <c r="C29" s="41" t="s">
        <v>38</v>
      </c>
      <c r="D29" s="42"/>
      <c r="E29" s="14"/>
      <c r="F29" s="41" t="s">
        <v>34</v>
      </c>
      <c r="G29" s="30">
        <v>44256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6" s="18" customFormat="1" ht="21" customHeight="1">
      <c r="A30" s="33"/>
      <c r="B30" s="34"/>
      <c r="C30" s="35" t="s">
        <v>22</v>
      </c>
      <c r="D30" s="34"/>
      <c r="E30" s="36"/>
      <c r="F30" s="34"/>
      <c r="G30" s="34"/>
      <c r="H30" s="65"/>
      <c r="I30" s="65"/>
      <c r="J30" s="37"/>
      <c r="K30" s="32">
        <f>SUM(K11:K29)</f>
        <v>28688.819999999992</v>
      </c>
      <c r="L30" s="32"/>
      <c r="M30" s="32">
        <f t="shared" ref="M30" si="7">SUM(M14:M27)</f>
        <v>324.60000000000002</v>
      </c>
      <c r="N30" s="32">
        <f>SUM(N11:N29)</f>
        <v>29013.419999999995</v>
      </c>
      <c r="O30" s="32">
        <f>SUM(O11:O29)</f>
        <v>2901.3420000000006</v>
      </c>
      <c r="P30" s="32">
        <f>SUM(P11:P29)</f>
        <v>496.12948199999983</v>
      </c>
      <c r="Q30" s="32">
        <f>SUM(Q11:Q29)</f>
        <v>145.06710000000001</v>
      </c>
      <c r="R30" s="32">
        <f>SUM(R11:R29)</f>
        <v>145.06710000000001</v>
      </c>
      <c r="S30" s="32">
        <f>SUM(S14:S29)</f>
        <v>0</v>
      </c>
      <c r="T30" s="32">
        <f>SUM(T11:T29)</f>
        <v>3687.6056820000003</v>
      </c>
      <c r="U30" s="32">
        <f>SUM(U11:U29)</f>
        <v>25325.814318000001</v>
      </c>
      <c r="V30" s="19"/>
    </row>
    <row r="31" spans="1:26" s="18" customFormat="1" ht="9.75" customHeight="1">
      <c r="A31"/>
      <c r="B31"/>
      <c r="C31"/>
      <c r="D31"/>
      <c r="E31" s="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23">
        <f>SUM(T30:T30)</f>
        <v>3687.6056820000003</v>
      </c>
      <c r="U31" s="23"/>
    </row>
    <row r="32" spans="1:26" s="18" customFormat="1">
      <c r="A32"/>
      <c r="B32"/>
      <c r="C32"/>
      <c r="D32"/>
      <c r="E32" s="9"/>
      <c r="F32"/>
      <c r="G32"/>
      <c r="H32"/>
      <c r="I32"/>
      <c r="J32"/>
      <c r="K32"/>
      <c r="L32"/>
      <c r="M32"/>
      <c r="N32" s="46"/>
      <c r="O32"/>
      <c r="P32"/>
      <c r="Q32"/>
      <c r="R32"/>
      <c r="S32"/>
      <c r="T32"/>
      <c r="U32"/>
      <c r="V32"/>
      <c r="Y32"/>
      <c r="Z32"/>
    </row>
    <row r="33" spans="1:22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 t="s">
        <v>145</v>
      </c>
      <c r="L34"/>
      <c r="M34"/>
      <c r="N34"/>
      <c r="O34"/>
      <c r="P34"/>
      <c r="Q34"/>
      <c r="R34"/>
      <c r="S34"/>
      <c r="T34"/>
      <c r="U34"/>
      <c r="V34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Hoja20"/>
  <dimension ref="A1:AE21"/>
  <sheetViews>
    <sheetView topLeftCell="A4" workbookViewId="0">
      <selection activeCell="H8" sqref="H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31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31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31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31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31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31" s="26" customFormat="1" ht="21.75" customHeight="1">
      <c r="A6" s="109"/>
      <c r="B6" s="109"/>
      <c r="C6" s="109"/>
      <c r="D6" s="109"/>
      <c r="E6" s="109"/>
      <c r="F6" s="109"/>
      <c r="G6" s="109"/>
      <c r="H6" s="109"/>
      <c r="I6" s="109"/>
      <c r="J6" s="113" t="s">
        <v>146</v>
      </c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</row>
    <row r="7" spans="1:31" s="26" customFormat="1" ht="21.75" customHeight="1">
      <c r="A7" s="109"/>
      <c r="B7" s="109"/>
      <c r="C7" s="109"/>
      <c r="D7" s="109"/>
      <c r="E7" s="109"/>
      <c r="F7" s="109"/>
      <c r="G7" s="109"/>
      <c r="H7" s="109"/>
      <c r="I7" s="109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</row>
    <row r="8" spans="1:31" s="26" customFormat="1" ht="21.75" customHeight="1">
      <c r="A8" s="109"/>
      <c r="B8" s="109"/>
      <c r="C8" s="109"/>
      <c r="D8" s="109"/>
      <c r="E8" s="109"/>
      <c r="F8" s="109"/>
      <c r="G8" s="109"/>
      <c r="H8" s="109"/>
      <c r="I8" s="109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</row>
    <row r="9" spans="1:31" s="26" customFormat="1" ht="21.75" customHeight="1">
      <c r="A9" s="109"/>
      <c r="B9" s="109"/>
      <c r="C9" s="109"/>
      <c r="D9" s="109"/>
      <c r="E9" s="109"/>
      <c r="F9" s="109"/>
      <c r="G9" s="109"/>
      <c r="H9" s="109"/>
      <c r="I9" s="109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</row>
    <row r="10" spans="1:31" s="26" customFormat="1" ht="19.5" customHeight="1">
      <c r="A10" s="23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7"/>
      <c r="X10" s="27"/>
    </row>
    <row r="11" spans="1:31" ht="0.75" hidden="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5"/>
      <c r="L11" s="5"/>
      <c r="M11" s="6"/>
      <c r="N11" s="6"/>
      <c r="O11" s="4"/>
      <c r="P11" s="4"/>
      <c r="Q11" s="4"/>
      <c r="R11" s="4"/>
      <c r="S11" s="4"/>
      <c r="T11" s="4"/>
      <c r="W11" s="7">
        <v>42399</v>
      </c>
      <c r="X11" s="8">
        <v>1656</v>
      </c>
    </row>
    <row r="12" spans="1:31" ht="18.75" customHeight="1">
      <c r="A12" s="238" t="s">
        <v>3</v>
      </c>
      <c r="B12" s="234" t="s">
        <v>4</v>
      </c>
      <c r="C12" s="238" t="s">
        <v>5</v>
      </c>
      <c r="D12" s="234" t="s">
        <v>6</v>
      </c>
      <c r="E12" s="234" t="s">
        <v>7</v>
      </c>
      <c r="F12" s="234" t="s">
        <v>8</v>
      </c>
      <c r="G12" s="234" t="s">
        <v>9</v>
      </c>
      <c r="H12" s="24"/>
      <c r="I12" s="24"/>
      <c r="J12" s="28" t="s">
        <v>10</v>
      </c>
      <c r="K12" s="234" t="s">
        <v>39</v>
      </c>
      <c r="L12" s="47"/>
      <c r="M12" s="234" t="s">
        <v>11</v>
      </c>
      <c r="N12" s="234" t="s">
        <v>12</v>
      </c>
      <c r="O12" s="231" t="s">
        <v>13</v>
      </c>
      <c r="P12" s="232"/>
      <c r="Q12" s="232"/>
      <c r="R12" s="232"/>
      <c r="S12" s="233"/>
      <c r="T12" s="234" t="s">
        <v>75</v>
      </c>
      <c r="U12" s="234" t="s">
        <v>27</v>
      </c>
      <c r="V12" s="234" t="s">
        <v>14</v>
      </c>
    </row>
    <row r="13" spans="1:31" ht="21.75" customHeight="1">
      <c r="A13" s="239"/>
      <c r="B13" s="235"/>
      <c r="C13" s="239"/>
      <c r="D13" s="235"/>
      <c r="E13" s="235"/>
      <c r="F13" s="235"/>
      <c r="G13" s="235"/>
      <c r="H13" s="24" t="s">
        <v>58</v>
      </c>
      <c r="I13" s="24"/>
      <c r="J13" s="52" t="s">
        <v>15</v>
      </c>
      <c r="K13" s="235"/>
      <c r="L13" s="48" t="s">
        <v>87</v>
      </c>
      <c r="M13" s="235"/>
      <c r="N13" s="235"/>
      <c r="O13" s="25" t="s">
        <v>26</v>
      </c>
      <c r="P13" s="24" t="s">
        <v>25</v>
      </c>
      <c r="Q13" s="24" t="s">
        <v>23</v>
      </c>
      <c r="R13" s="24" t="s">
        <v>24</v>
      </c>
      <c r="S13" s="25" t="s">
        <v>16</v>
      </c>
      <c r="T13" s="235"/>
      <c r="U13" s="235"/>
      <c r="V13" s="235"/>
    </row>
    <row r="14" spans="1:31" ht="18.75" customHeight="1">
      <c r="A14" s="240"/>
      <c r="B14" s="236"/>
      <c r="C14" s="240"/>
      <c r="D14" s="236"/>
      <c r="E14" s="236"/>
      <c r="F14" s="236"/>
      <c r="G14" s="236"/>
      <c r="H14" s="24" t="s">
        <v>59</v>
      </c>
      <c r="I14" s="24"/>
      <c r="J14" s="29" t="s">
        <v>17</v>
      </c>
      <c r="K14" s="236"/>
      <c r="L14" s="48"/>
      <c r="M14" s="236"/>
      <c r="N14" s="236"/>
      <c r="O14" s="11">
        <v>0.1</v>
      </c>
      <c r="P14" s="10">
        <v>1.7100000000000001E-2</v>
      </c>
      <c r="Q14" s="12">
        <v>5.0000000000000001E-3</v>
      </c>
      <c r="R14" s="13">
        <v>5.0000000000000001E-3</v>
      </c>
      <c r="S14" s="11">
        <v>0.13</v>
      </c>
      <c r="T14" s="236"/>
      <c r="U14" s="236"/>
      <c r="V14" s="236"/>
    </row>
    <row r="15" spans="1:31" ht="22.5" customHeight="1">
      <c r="A15" s="57">
        <v>1</v>
      </c>
      <c r="B15" s="41" t="s">
        <v>69</v>
      </c>
      <c r="C15" s="41" t="s">
        <v>70</v>
      </c>
      <c r="D15" s="42"/>
      <c r="E15" s="14"/>
      <c r="F15" s="41" t="s">
        <v>71</v>
      </c>
      <c r="G15" s="30">
        <v>44577</v>
      </c>
      <c r="H15" s="63">
        <v>6</v>
      </c>
      <c r="I15" s="64"/>
      <c r="J15" s="14">
        <v>15</v>
      </c>
      <c r="K15" s="62">
        <v>1082</v>
      </c>
      <c r="L15" s="62"/>
      <c r="M15" s="43">
        <v>0</v>
      </c>
      <c r="N15" s="62">
        <f t="shared" ref="N15:N16" si="0">K15+M15</f>
        <v>1082</v>
      </c>
      <c r="O15" s="62">
        <f t="shared" ref="O15:O16" si="1">+N15*0.1</f>
        <v>108.2</v>
      </c>
      <c r="P15" s="62">
        <f t="shared" ref="P15:P16" si="2">+N15*0.0171</f>
        <v>18.502200000000002</v>
      </c>
      <c r="Q15" s="62">
        <f t="shared" ref="Q15:Q16" si="3">+N15*0.005</f>
        <v>5.41</v>
      </c>
      <c r="R15" s="62">
        <f t="shared" ref="R15:R16" si="4">N15*0.5%</f>
        <v>5.41</v>
      </c>
      <c r="S15" s="43">
        <v>0</v>
      </c>
      <c r="T15" s="43">
        <f t="shared" ref="T15:T16" si="5">+O15+P15+Q15+R15+S15</f>
        <v>137.5222</v>
      </c>
      <c r="U15" s="43">
        <f t="shared" ref="U15:U16" si="6">+N15-T15</f>
        <v>944.4778</v>
      </c>
      <c r="V15" s="44"/>
      <c r="X15" s="45"/>
    </row>
    <row r="16" spans="1:31" ht="22.5" customHeight="1">
      <c r="A16" s="57">
        <v>2</v>
      </c>
      <c r="B16" s="41" t="s">
        <v>45</v>
      </c>
      <c r="C16" s="41" t="s">
        <v>46</v>
      </c>
      <c r="D16" s="42"/>
      <c r="E16" s="14"/>
      <c r="F16" s="41" t="s">
        <v>47</v>
      </c>
      <c r="G16" s="30">
        <v>43101</v>
      </c>
      <c r="H16" s="63">
        <v>6</v>
      </c>
      <c r="I16" s="64"/>
      <c r="J16" s="14">
        <v>30</v>
      </c>
      <c r="K16" s="62">
        <v>2164</v>
      </c>
      <c r="L16" s="62"/>
      <c r="M16" s="43">
        <v>324.60000000000002</v>
      </c>
      <c r="N16" s="62">
        <f t="shared" si="0"/>
        <v>2488.6</v>
      </c>
      <c r="O16" s="62">
        <f t="shared" si="1"/>
        <v>248.86</v>
      </c>
      <c r="P16" s="62">
        <f t="shared" si="2"/>
        <v>42.555059999999997</v>
      </c>
      <c r="Q16" s="62">
        <f t="shared" si="3"/>
        <v>12.443</v>
      </c>
      <c r="R16" s="62">
        <f t="shared" si="4"/>
        <v>12.443</v>
      </c>
      <c r="S16" s="43">
        <v>0</v>
      </c>
      <c r="T16" s="43">
        <f t="shared" si="5"/>
        <v>316.30106000000001</v>
      </c>
      <c r="U16" s="43">
        <f t="shared" si="6"/>
        <v>2172.2989399999997</v>
      </c>
      <c r="V16" s="44"/>
      <c r="X16" s="108"/>
    </row>
    <row r="17" spans="1:26" s="18" customFormat="1" ht="21" customHeight="1">
      <c r="A17" s="33"/>
      <c r="B17" s="34"/>
      <c r="C17" s="35" t="s">
        <v>22</v>
      </c>
      <c r="D17" s="34"/>
      <c r="E17" s="36"/>
      <c r="F17" s="34"/>
      <c r="G17" s="34"/>
      <c r="H17" s="65"/>
      <c r="I17" s="65"/>
      <c r="J17" s="37"/>
      <c r="K17" s="32">
        <f>SUM(K15:K16)</f>
        <v>3246</v>
      </c>
      <c r="L17" s="32"/>
      <c r="M17" s="32">
        <f t="shared" ref="M17:U17" si="7">SUM(M15:M16)</f>
        <v>324.60000000000002</v>
      </c>
      <c r="N17" s="32">
        <f t="shared" si="7"/>
        <v>3570.6</v>
      </c>
      <c r="O17" s="32">
        <f t="shared" si="7"/>
        <v>357.06</v>
      </c>
      <c r="P17" s="32">
        <f t="shared" si="7"/>
        <v>61.057259999999999</v>
      </c>
      <c r="Q17" s="32">
        <f t="shared" si="7"/>
        <v>17.853000000000002</v>
      </c>
      <c r="R17" s="32">
        <f t="shared" si="7"/>
        <v>17.853000000000002</v>
      </c>
      <c r="S17" s="32">
        <f t="shared" si="7"/>
        <v>0</v>
      </c>
      <c r="T17" s="32">
        <f t="shared" si="7"/>
        <v>453.82326</v>
      </c>
      <c r="U17" s="32">
        <f t="shared" si="7"/>
        <v>3116.7767399999998</v>
      </c>
      <c r="V17" s="19"/>
    </row>
    <row r="18" spans="1:26" s="18" customFormat="1" ht="9.75" customHeight="1">
      <c r="A18"/>
      <c r="B18"/>
      <c r="C18"/>
      <c r="D18"/>
      <c r="E18" s="9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s="23">
        <f>SUM(T17:T17)</f>
        <v>453.82326</v>
      </c>
      <c r="U18" s="23"/>
    </row>
    <row r="19" spans="1:26" s="18" customFormat="1">
      <c r="A19"/>
      <c r="B19"/>
      <c r="C19"/>
      <c r="D19"/>
      <c r="E19" s="9"/>
      <c r="F19"/>
      <c r="G19"/>
      <c r="H19"/>
      <c r="I19"/>
      <c r="J19"/>
      <c r="K19"/>
      <c r="L19"/>
      <c r="M19"/>
      <c r="N19" s="46"/>
      <c r="O19"/>
      <c r="P19"/>
      <c r="Q19"/>
      <c r="R19"/>
      <c r="S19"/>
      <c r="T19"/>
      <c r="U19"/>
      <c r="V19"/>
      <c r="Y19"/>
      <c r="Z19"/>
    </row>
    <row r="20" spans="1:26" s="18" customFormat="1">
      <c r="A20"/>
      <c r="B20"/>
      <c r="C20"/>
      <c r="D20"/>
      <c r="E20" s="9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6" s="18" customFormat="1">
      <c r="A21"/>
      <c r="B21"/>
      <c r="C21"/>
      <c r="D21"/>
      <c r="E21" s="9"/>
      <c r="F21"/>
      <c r="G21"/>
      <c r="H21"/>
      <c r="I21"/>
      <c r="J21"/>
      <c r="K21" t="s">
        <v>147</v>
      </c>
      <c r="L21"/>
      <c r="M21"/>
      <c r="N21"/>
      <c r="O21"/>
      <c r="P21"/>
      <c r="Q21"/>
      <c r="R21"/>
      <c r="S21"/>
      <c r="T21"/>
      <c r="U21"/>
      <c r="V21"/>
    </row>
  </sheetData>
  <mergeCells count="17">
    <mergeCell ref="O12:S12"/>
    <mergeCell ref="T12:T14"/>
    <mergeCell ref="U12:U14"/>
    <mergeCell ref="A4:V4"/>
    <mergeCell ref="A5:V5"/>
    <mergeCell ref="A10:V10"/>
    <mergeCell ref="A12:A14"/>
    <mergeCell ref="B12:B14"/>
    <mergeCell ref="C12:C14"/>
    <mergeCell ref="D12:D14"/>
    <mergeCell ref="E12:E14"/>
    <mergeCell ref="F12:F14"/>
    <mergeCell ref="G12:G14"/>
    <mergeCell ref="V12:V14"/>
    <mergeCell ref="K12:K14"/>
    <mergeCell ref="M12:M14"/>
    <mergeCell ref="N12:N14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Hoja21"/>
  <dimension ref="A1:Z35"/>
  <sheetViews>
    <sheetView topLeftCell="A23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151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30" si="0">K11+M11</f>
        <v>2164</v>
      </c>
      <c r="O11" s="62">
        <f t="shared" ref="O11:O30" si="1">+N11*0.1</f>
        <v>216.4</v>
      </c>
      <c r="P11" s="62">
        <f t="shared" ref="P11:P30" si="2">+N11*0.0171</f>
        <v>37.004400000000004</v>
      </c>
      <c r="Q11" s="62">
        <f t="shared" ref="Q11:Q30" si="3">+N11*0.005</f>
        <v>10.82</v>
      </c>
      <c r="R11" s="62">
        <f t="shared" ref="R11:R30" si="4">N11*0.5%</f>
        <v>10.82</v>
      </c>
      <c r="S11" s="43">
        <v>0</v>
      </c>
      <c r="T11" s="43">
        <f t="shared" ref="T11:T30" si="5">+O11+P11+Q11+R11+S11</f>
        <v>275.0444</v>
      </c>
      <c r="U11" s="43">
        <f t="shared" ref="U11:U30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2164</v>
      </c>
      <c r="L12" s="60"/>
      <c r="M12" s="43">
        <v>0</v>
      </c>
      <c r="N12" s="62">
        <f t="shared" si="0"/>
        <v>2164</v>
      </c>
      <c r="O12" s="62">
        <f t="shared" si="1"/>
        <v>216.4</v>
      </c>
      <c r="P12" s="62">
        <f t="shared" si="2"/>
        <v>37.004400000000004</v>
      </c>
      <c r="Q12" s="62">
        <f t="shared" si="3"/>
        <v>10.82</v>
      </c>
      <c r="R12" s="62">
        <f t="shared" si="4"/>
        <v>10.82</v>
      </c>
      <c r="S12" s="43">
        <v>0</v>
      </c>
      <c r="T12" s="43">
        <f t="shared" si="5"/>
        <v>275.0444</v>
      </c>
      <c r="U12" s="43">
        <f t="shared" si="6"/>
        <v>1888.9556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3543</v>
      </c>
      <c r="L15" s="62"/>
      <c r="M15" s="43">
        <v>0</v>
      </c>
      <c r="N15" s="62">
        <f t="shared" si="0"/>
        <v>3543</v>
      </c>
      <c r="O15" s="62">
        <f t="shared" si="1"/>
        <v>354.3</v>
      </c>
      <c r="P15" s="62">
        <f t="shared" si="2"/>
        <v>60.585300000000004</v>
      </c>
      <c r="Q15" s="62">
        <f t="shared" si="3"/>
        <v>17.715</v>
      </c>
      <c r="R15" s="62">
        <f t="shared" si="4"/>
        <v>17.715</v>
      </c>
      <c r="S15" s="43">
        <v>0</v>
      </c>
      <c r="T15" s="43">
        <f t="shared" si="5"/>
        <v>450.31529999999998</v>
      </c>
      <c r="U15" s="43">
        <f t="shared" si="6"/>
        <v>3092.6846999999998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2393</v>
      </c>
      <c r="L17" s="62"/>
      <c r="M17" s="43">
        <v>0</v>
      </c>
      <c r="N17" s="62">
        <f t="shared" si="0"/>
        <v>2393</v>
      </c>
      <c r="O17" s="62">
        <f t="shared" si="1"/>
        <v>239.3</v>
      </c>
      <c r="P17" s="62">
        <f t="shared" si="2"/>
        <v>40.920300000000005</v>
      </c>
      <c r="Q17" s="62">
        <f t="shared" si="3"/>
        <v>11.965</v>
      </c>
      <c r="R17" s="62">
        <f t="shared" si="4"/>
        <v>11.965</v>
      </c>
      <c r="S17" s="43">
        <v>0</v>
      </c>
      <c r="T17" s="43">
        <f t="shared" si="5"/>
        <v>304.15029999999996</v>
      </c>
      <c r="U17" s="43">
        <f t="shared" si="6"/>
        <v>2088.8497000000002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62">
        <f t="shared" si="1"/>
        <v>248.86</v>
      </c>
      <c r="P19" s="62">
        <f t="shared" si="2"/>
        <v>42.555059999999997</v>
      </c>
      <c r="Q19" s="62">
        <f t="shared" si="3"/>
        <v>12.443</v>
      </c>
      <c r="R19" s="62">
        <f t="shared" si="4"/>
        <v>12.443</v>
      </c>
      <c r="S19" s="43">
        <v>0</v>
      </c>
      <c r="T19" s="43">
        <f t="shared" si="5"/>
        <v>316.30106000000001</v>
      </c>
      <c r="U19" s="43">
        <f t="shared" si="6"/>
        <v>2172.2989399999997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2348</v>
      </c>
      <c r="L20" s="62"/>
      <c r="M20" s="43">
        <v>0</v>
      </c>
      <c r="N20" s="62">
        <f t="shared" si="0"/>
        <v>2348</v>
      </c>
      <c r="O20" s="62">
        <f t="shared" si="1"/>
        <v>234.8</v>
      </c>
      <c r="P20" s="62">
        <f t="shared" si="2"/>
        <v>40.150800000000004</v>
      </c>
      <c r="Q20" s="62">
        <f t="shared" si="3"/>
        <v>11.74</v>
      </c>
      <c r="R20" s="62">
        <f t="shared" si="4"/>
        <v>11.74</v>
      </c>
      <c r="S20" s="43">
        <v>0</v>
      </c>
      <c r="T20" s="43">
        <f t="shared" si="5"/>
        <v>298.43080000000003</v>
      </c>
      <c r="U20" s="43">
        <f t="shared" si="6"/>
        <v>2049.5691999999999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2164</v>
      </c>
      <c r="L21" s="62"/>
      <c r="M21" s="43">
        <v>0</v>
      </c>
      <c r="N21" s="62">
        <f t="shared" si="0"/>
        <v>2164</v>
      </c>
      <c r="O21" s="62">
        <f t="shared" si="1"/>
        <v>216.4</v>
      </c>
      <c r="P21" s="62">
        <f t="shared" si="2"/>
        <v>37.004400000000004</v>
      </c>
      <c r="Q21" s="62">
        <f t="shared" si="3"/>
        <v>10.82</v>
      </c>
      <c r="R21" s="62">
        <f t="shared" si="4"/>
        <v>10.82</v>
      </c>
      <c r="S21" s="43">
        <v>0</v>
      </c>
      <c r="T21" s="43">
        <f t="shared" si="5"/>
        <v>275.0444</v>
      </c>
      <c r="U21" s="43">
        <f t="shared" si="6"/>
        <v>1888.9556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2291.21</v>
      </c>
      <c r="L22" s="62"/>
      <c r="M22" s="43">
        <v>0</v>
      </c>
      <c r="N22" s="62">
        <f t="shared" si="0"/>
        <v>2291.21</v>
      </c>
      <c r="O22" s="62">
        <f t="shared" si="1"/>
        <v>229.12100000000001</v>
      </c>
      <c r="P22" s="62">
        <f t="shared" si="2"/>
        <v>39.179691000000005</v>
      </c>
      <c r="Q22" s="62">
        <f t="shared" si="3"/>
        <v>11.456050000000001</v>
      </c>
      <c r="R22" s="62">
        <f t="shared" si="4"/>
        <v>11.456050000000001</v>
      </c>
      <c r="S22" s="43">
        <v>0</v>
      </c>
      <c r="T22" s="43">
        <f t="shared" si="5"/>
        <v>291.21279100000004</v>
      </c>
      <c r="U22" s="43">
        <f t="shared" si="6"/>
        <v>1999.9972090000001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2164</v>
      </c>
      <c r="L24" s="62"/>
      <c r="M24" s="43">
        <v>0</v>
      </c>
      <c r="N24" s="62">
        <f t="shared" si="0"/>
        <v>2164</v>
      </c>
      <c r="O24" s="62">
        <f t="shared" si="1"/>
        <v>216.4</v>
      </c>
      <c r="P24" s="62">
        <f t="shared" si="2"/>
        <v>37.004400000000004</v>
      </c>
      <c r="Q24" s="62">
        <f t="shared" si="3"/>
        <v>10.82</v>
      </c>
      <c r="R24" s="62">
        <f t="shared" si="4"/>
        <v>10.82</v>
      </c>
      <c r="S24" s="43">
        <v>0</v>
      </c>
      <c r="T24" s="43">
        <f t="shared" si="5"/>
        <v>275.0444</v>
      </c>
      <c r="U24" s="43">
        <f t="shared" si="6"/>
        <v>1888.9556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2272.42</v>
      </c>
      <c r="L25" s="62"/>
      <c r="M25" s="43">
        <v>0</v>
      </c>
      <c r="N25" s="62">
        <f t="shared" si="0"/>
        <v>2272.42</v>
      </c>
      <c r="O25" s="62">
        <f t="shared" si="1"/>
        <v>227.24200000000002</v>
      </c>
      <c r="P25" s="62">
        <f t="shared" si="2"/>
        <v>38.858382000000006</v>
      </c>
      <c r="Q25" s="62">
        <f t="shared" si="3"/>
        <v>11.3621</v>
      </c>
      <c r="R25" s="62">
        <f t="shared" si="4"/>
        <v>11.3621</v>
      </c>
      <c r="S25" s="43">
        <v>0</v>
      </c>
      <c r="T25" s="43">
        <f t="shared" si="5"/>
        <v>288.82458200000002</v>
      </c>
      <c r="U25" s="43">
        <f t="shared" si="6"/>
        <v>1983.5954180000001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2393</v>
      </c>
      <c r="L28" s="62"/>
      <c r="M28" s="43">
        <v>0</v>
      </c>
      <c r="N28" s="62">
        <f t="shared" si="0"/>
        <v>2393</v>
      </c>
      <c r="O28" s="62">
        <f t="shared" si="1"/>
        <v>239.3</v>
      </c>
      <c r="P28" s="62">
        <f t="shared" si="2"/>
        <v>40.920300000000005</v>
      </c>
      <c r="Q28" s="62">
        <f t="shared" si="3"/>
        <v>11.965</v>
      </c>
      <c r="R28" s="62">
        <f t="shared" si="4"/>
        <v>11.965</v>
      </c>
      <c r="S28" s="43">
        <v>0</v>
      </c>
      <c r="T28" s="43">
        <f t="shared" si="5"/>
        <v>304.15029999999996</v>
      </c>
      <c r="U28" s="43">
        <f t="shared" si="6"/>
        <v>2088.8497000000002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2164</v>
      </c>
      <c r="L30" s="69"/>
      <c r="M30" s="43">
        <v>0</v>
      </c>
      <c r="N30" s="62">
        <f t="shared" si="0"/>
        <v>2164</v>
      </c>
      <c r="O30" s="62">
        <f t="shared" si="1"/>
        <v>216.4</v>
      </c>
      <c r="P30" s="62">
        <f t="shared" si="2"/>
        <v>37.004400000000004</v>
      </c>
      <c r="Q30" s="62">
        <f t="shared" si="3"/>
        <v>10.82</v>
      </c>
      <c r="R30" s="62">
        <f t="shared" si="4"/>
        <v>10.82</v>
      </c>
      <c r="S30" s="43">
        <v>0</v>
      </c>
      <c r="T30" s="43">
        <f t="shared" si="5"/>
        <v>275.0444</v>
      </c>
      <c r="U30" s="43">
        <f t="shared" si="6"/>
        <v>1888.9556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46933.17</v>
      </c>
      <c r="L31" s="32"/>
      <c r="M31" s="32">
        <f t="shared" ref="M31" si="7">SUM(M14:M28)</f>
        <v>324.60000000000002</v>
      </c>
      <c r="N31" s="32">
        <f>SUM(N11:N30)</f>
        <v>47257.77</v>
      </c>
      <c r="O31" s="32">
        <f>SUM(O11:O30)</f>
        <v>4725.777</v>
      </c>
      <c r="P31" s="32">
        <f>SUM(P11:P30)</f>
        <v>808.10786700000028</v>
      </c>
      <c r="Q31" s="32">
        <f>SUM(Q11:Q30)</f>
        <v>236.28884999999994</v>
      </c>
      <c r="R31" s="32">
        <f>SUM(R11:R30)</f>
        <v>236.28884999999994</v>
      </c>
      <c r="S31" s="32">
        <f>SUM(S14:S30)</f>
        <v>0</v>
      </c>
      <c r="T31" s="32">
        <f>SUM(T11:T30)</f>
        <v>6006.4625669999987</v>
      </c>
      <c r="U31" s="32">
        <f>SUM(U11:U30)</f>
        <v>41251.307433000002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6006.4625669999987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155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Hoja22"/>
  <dimension ref="A1:Z35"/>
  <sheetViews>
    <sheetView topLeftCell="A11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152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30" si="0">K11+M11</f>
        <v>2164</v>
      </c>
      <c r="O11" s="62">
        <f t="shared" ref="O11:O30" si="1">+N11*0.1</f>
        <v>216.4</v>
      </c>
      <c r="P11" s="62">
        <f t="shared" ref="P11:P30" si="2">+N11*0.0171</f>
        <v>37.004400000000004</v>
      </c>
      <c r="Q11" s="62">
        <f t="shared" ref="Q11:Q30" si="3">+N11*0.005</f>
        <v>10.82</v>
      </c>
      <c r="R11" s="62">
        <f t="shared" ref="R11:R30" si="4">N11*0.5%</f>
        <v>10.82</v>
      </c>
      <c r="S11" s="43">
        <v>0</v>
      </c>
      <c r="T11" s="43">
        <f t="shared" ref="T11:T30" si="5">+O11+P11+Q11+R11+S11</f>
        <v>275.0444</v>
      </c>
      <c r="U11" s="43">
        <f t="shared" ref="U11:U30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2164</v>
      </c>
      <c r="L12" s="60"/>
      <c r="M12" s="43">
        <v>0</v>
      </c>
      <c r="N12" s="62">
        <f t="shared" si="0"/>
        <v>2164</v>
      </c>
      <c r="O12" s="62">
        <f t="shared" si="1"/>
        <v>216.4</v>
      </c>
      <c r="P12" s="62">
        <f t="shared" si="2"/>
        <v>37.004400000000004</v>
      </c>
      <c r="Q12" s="62">
        <f t="shared" si="3"/>
        <v>10.82</v>
      </c>
      <c r="R12" s="62">
        <f t="shared" si="4"/>
        <v>10.82</v>
      </c>
      <c r="S12" s="43">
        <v>0</v>
      </c>
      <c r="T12" s="43">
        <f t="shared" si="5"/>
        <v>275.0444</v>
      </c>
      <c r="U12" s="43">
        <f t="shared" si="6"/>
        <v>1888.9556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3543</v>
      </c>
      <c r="L15" s="62"/>
      <c r="M15" s="43">
        <v>0</v>
      </c>
      <c r="N15" s="62">
        <f t="shared" si="0"/>
        <v>3543</v>
      </c>
      <c r="O15" s="62">
        <f t="shared" si="1"/>
        <v>354.3</v>
      </c>
      <c r="P15" s="62">
        <f t="shared" si="2"/>
        <v>60.585300000000004</v>
      </c>
      <c r="Q15" s="62">
        <f t="shared" si="3"/>
        <v>17.715</v>
      </c>
      <c r="R15" s="62">
        <f t="shared" si="4"/>
        <v>17.715</v>
      </c>
      <c r="S15" s="43">
        <v>0</v>
      </c>
      <c r="T15" s="43">
        <f t="shared" si="5"/>
        <v>450.31529999999998</v>
      </c>
      <c r="U15" s="43">
        <f t="shared" si="6"/>
        <v>3092.6846999999998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2393</v>
      </c>
      <c r="L17" s="62"/>
      <c r="M17" s="43">
        <v>0</v>
      </c>
      <c r="N17" s="62">
        <f t="shared" si="0"/>
        <v>2393</v>
      </c>
      <c r="O17" s="62">
        <f t="shared" si="1"/>
        <v>239.3</v>
      </c>
      <c r="P17" s="62">
        <f t="shared" si="2"/>
        <v>40.920300000000005</v>
      </c>
      <c r="Q17" s="62">
        <f t="shared" si="3"/>
        <v>11.965</v>
      </c>
      <c r="R17" s="62">
        <f t="shared" si="4"/>
        <v>11.965</v>
      </c>
      <c r="S17" s="43">
        <v>0</v>
      </c>
      <c r="T17" s="43">
        <f t="shared" si="5"/>
        <v>304.15029999999996</v>
      </c>
      <c r="U17" s="43">
        <f t="shared" si="6"/>
        <v>2088.8497000000002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62">
        <f t="shared" si="1"/>
        <v>248.86</v>
      </c>
      <c r="P19" s="62">
        <f t="shared" si="2"/>
        <v>42.555059999999997</v>
      </c>
      <c r="Q19" s="62">
        <f t="shared" si="3"/>
        <v>12.443</v>
      </c>
      <c r="R19" s="62">
        <f t="shared" si="4"/>
        <v>12.443</v>
      </c>
      <c r="S19" s="43">
        <v>0</v>
      </c>
      <c r="T19" s="43">
        <f t="shared" si="5"/>
        <v>316.30106000000001</v>
      </c>
      <c r="U19" s="43">
        <f t="shared" si="6"/>
        <v>2172.2989399999997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2348</v>
      </c>
      <c r="L20" s="62"/>
      <c r="M20" s="43">
        <v>0</v>
      </c>
      <c r="N20" s="62">
        <f t="shared" si="0"/>
        <v>2348</v>
      </c>
      <c r="O20" s="62">
        <f t="shared" si="1"/>
        <v>234.8</v>
      </c>
      <c r="P20" s="62">
        <f t="shared" si="2"/>
        <v>40.150800000000004</v>
      </c>
      <c r="Q20" s="62">
        <f t="shared" si="3"/>
        <v>11.74</v>
      </c>
      <c r="R20" s="62">
        <f t="shared" si="4"/>
        <v>11.74</v>
      </c>
      <c r="S20" s="43">
        <v>0</v>
      </c>
      <c r="T20" s="43">
        <f t="shared" si="5"/>
        <v>298.43080000000003</v>
      </c>
      <c r="U20" s="43">
        <f t="shared" si="6"/>
        <v>2049.5691999999999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2164</v>
      </c>
      <c r="L21" s="62"/>
      <c r="M21" s="43">
        <v>0</v>
      </c>
      <c r="N21" s="62">
        <f t="shared" si="0"/>
        <v>2164</v>
      </c>
      <c r="O21" s="62">
        <f t="shared" si="1"/>
        <v>216.4</v>
      </c>
      <c r="P21" s="62">
        <f t="shared" si="2"/>
        <v>37.004400000000004</v>
      </c>
      <c r="Q21" s="62">
        <f t="shared" si="3"/>
        <v>10.82</v>
      </c>
      <c r="R21" s="62">
        <f t="shared" si="4"/>
        <v>10.82</v>
      </c>
      <c r="S21" s="43">
        <v>0</v>
      </c>
      <c r="T21" s="43">
        <f t="shared" si="5"/>
        <v>275.0444</v>
      </c>
      <c r="U21" s="43">
        <f t="shared" si="6"/>
        <v>1888.9556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2291.21</v>
      </c>
      <c r="L22" s="62"/>
      <c r="M22" s="43">
        <v>0</v>
      </c>
      <c r="N22" s="62">
        <f t="shared" si="0"/>
        <v>2291.21</v>
      </c>
      <c r="O22" s="62">
        <f t="shared" si="1"/>
        <v>229.12100000000001</v>
      </c>
      <c r="P22" s="62">
        <f t="shared" si="2"/>
        <v>39.179691000000005</v>
      </c>
      <c r="Q22" s="62">
        <f t="shared" si="3"/>
        <v>11.456050000000001</v>
      </c>
      <c r="R22" s="62">
        <f t="shared" si="4"/>
        <v>11.456050000000001</v>
      </c>
      <c r="S22" s="43">
        <v>0</v>
      </c>
      <c r="T22" s="43">
        <f t="shared" si="5"/>
        <v>291.21279100000004</v>
      </c>
      <c r="U22" s="43">
        <f t="shared" si="6"/>
        <v>1999.9972090000001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2164</v>
      </c>
      <c r="L24" s="62"/>
      <c r="M24" s="43">
        <v>0</v>
      </c>
      <c r="N24" s="62">
        <f t="shared" si="0"/>
        <v>2164</v>
      </c>
      <c r="O24" s="62">
        <f t="shared" si="1"/>
        <v>216.4</v>
      </c>
      <c r="P24" s="62">
        <f t="shared" si="2"/>
        <v>37.004400000000004</v>
      </c>
      <c r="Q24" s="62">
        <f t="shared" si="3"/>
        <v>10.82</v>
      </c>
      <c r="R24" s="62">
        <f t="shared" si="4"/>
        <v>10.82</v>
      </c>
      <c r="S24" s="43">
        <v>0</v>
      </c>
      <c r="T24" s="43">
        <f t="shared" si="5"/>
        <v>275.0444</v>
      </c>
      <c r="U24" s="43">
        <f t="shared" si="6"/>
        <v>1888.9556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2272.42</v>
      </c>
      <c r="L25" s="62"/>
      <c r="M25" s="43">
        <v>0</v>
      </c>
      <c r="N25" s="62">
        <f t="shared" si="0"/>
        <v>2272.42</v>
      </c>
      <c r="O25" s="62">
        <f t="shared" si="1"/>
        <v>227.24200000000002</v>
      </c>
      <c r="P25" s="62">
        <f t="shared" si="2"/>
        <v>38.858382000000006</v>
      </c>
      <c r="Q25" s="62">
        <f t="shared" si="3"/>
        <v>11.3621</v>
      </c>
      <c r="R25" s="62">
        <f t="shared" si="4"/>
        <v>11.3621</v>
      </c>
      <c r="S25" s="43">
        <v>0</v>
      </c>
      <c r="T25" s="43">
        <f t="shared" si="5"/>
        <v>288.82458200000002</v>
      </c>
      <c r="U25" s="43">
        <f t="shared" si="6"/>
        <v>1983.5954180000001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2393</v>
      </c>
      <c r="L28" s="62"/>
      <c r="M28" s="43">
        <v>0</v>
      </c>
      <c r="N28" s="62">
        <f t="shared" si="0"/>
        <v>2393</v>
      </c>
      <c r="O28" s="62">
        <f t="shared" si="1"/>
        <v>239.3</v>
      </c>
      <c r="P28" s="62">
        <f t="shared" si="2"/>
        <v>40.920300000000005</v>
      </c>
      <c r="Q28" s="62">
        <f t="shared" si="3"/>
        <v>11.965</v>
      </c>
      <c r="R28" s="62">
        <f t="shared" si="4"/>
        <v>11.965</v>
      </c>
      <c r="S28" s="43">
        <v>0</v>
      </c>
      <c r="T28" s="43">
        <f t="shared" si="5"/>
        <v>304.15029999999996</v>
      </c>
      <c r="U28" s="43">
        <f t="shared" si="6"/>
        <v>2088.8497000000002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2164</v>
      </c>
      <c r="L30" s="69"/>
      <c r="M30" s="43">
        <v>0</v>
      </c>
      <c r="N30" s="62">
        <f t="shared" si="0"/>
        <v>2164</v>
      </c>
      <c r="O30" s="62">
        <f t="shared" si="1"/>
        <v>216.4</v>
      </c>
      <c r="P30" s="62">
        <f t="shared" si="2"/>
        <v>37.004400000000004</v>
      </c>
      <c r="Q30" s="62">
        <f t="shared" si="3"/>
        <v>10.82</v>
      </c>
      <c r="R30" s="62">
        <f t="shared" si="4"/>
        <v>10.82</v>
      </c>
      <c r="S30" s="43">
        <v>0</v>
      </c>
      <c r="T30" s="43">
        <f t="shared" si="5"/>
        <v>275.0444</v>
      </c>
      <c r="U30" s="43">
        <f t="shared" si="6"/>
        <v>1888.9556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46933.17</v>
      </c>
      <c r="L31" s="32"/>
      <c r="M31" s="32">
        <f t="shared" ref="M31" si="7">SUM(M14:M28)</f>
        <v>324.60000000000002</v>
      </c>
      <c r="N31" s="32">
        <f>SUM(N11:N30)</f>
        <v>47257.77</v>
      </c>
      <c r="O31" s="32">
        <f>SUM(O11:O30)</f>
        <v>4725.777</v>
      </c>
      <c r="P31" s="32">
        <f>SUM(P11:P30)</f>
        <v>808.10786700000028</v>
      </c>
      <c r="Q31" s="32">
        <f>SUM(Q11:Q30)</f>
        <v>236.28884999999994</v>
      </c>
      <c r="R31" s="32">
        <f>SUM(R11:R30)</f>
        <v>236.28884999999994</v>
      </c>
      <c r="S31" s="32">
        <f>SUM(S14:S30)</f>
        <v>0</v>
      </c>
      <c r="T31" s="32">
        <f>SUM(T11:T30)</f>
        <v>6006.4625669999987</v>
      </c>
      <c r="U31" s="32">
        <f>SUM(U11:U30)</f>
        <v>41251.307433000002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6006.4625669999987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154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Hoja23"/>
  <dimension ref="A1:Z35"/>
  <sheetViews>
    <sheetView topLeftCell="A14" workbookViewId="0">
      <selection activeCell="H36" sqref="H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153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2164</v>
      </c>
      <c r="L11" s="60"/>
      <c r="M11" s="43">
        <v>0</v>
      </c>
      <c r="N11" s="62">
        <f t="shared" ref="N11:N30" si="0">K11+M11</f>
        <v>2164</v>
      </c>
      <c r="O11" s="62">
        <f t="shared" ref="O11:O30" si="1">+N11*0.1</f>
        <v>216.4</v>
      </c>
      <c r="P11" s="62">
        <f t="shared" ref="P11:P30" si="2">+N11*0.0171</f>
        <v>37.004400000000004</v>
      </c>
      <c r="Q11" s="62">
        <f t="shared" ref="Q11:Q30" si="3">+N11*0.005</f>
        <v>10.82</v>
      </c>
      <c r="R11" s="62">
        <f t="shared" ref="R11:R30" si="4">N11*0.5%</f>
        <v>10.82</v>
      </c>
      <c r="S11" s="43">
        <v>0</v>
      </c>
      <c r="T11" s="43">
        <f t="shared" ref="T11:T30" si="5">+O11+P11+Q11+R11+S11</f>
        <v>275.0444</v>
      </c>
      <c r="U11" s="43">
        <f t="shared" ref="U11:U30" si="6">+N11-T11</f>
        <v>1888.9556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2164</v>
      </c>
      <c r="L12" s="60"/>
      <c r="M12" s="43">
        <v>0</v>
      </c>
      <c r="N12" s="62">
        <f t="shared" si="0"/>
        <v>2164</v>
      </c>
      <c r="O12" s="62">
        <f t="shared" si="1"/>
        <v>216.4</v>
      </c>
      <c r="P12" s="62">
        <f t="shared" si="2"/>
        <v>37.004400000000004</v>
      </c>
      <c r="Q12" s="62">
        <f t="shared" si="3"/>
        <v>10.82</v>
      </c>
      <c r="R12" s="62">
        <f t="shared" si="4"/>
        <v>10.82</v>
      </c>
      <c r="S12" s="43">
        <v>0</v>
      </c>
      <c r="T12" s="43">
        <f t="shared" si="5"/>
        <v>275.0444</v>
      </c>
      <c r="U12" s="43">
        <f t="shared" si="6"/>
        <v>1888.9556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2164</v>
      </c>
      <c r="L13" s="60"/>
      <c r="M13" s="43">
        <v>0</v>
      </c>
      <c r="N13" s="62">
        <f t="shared" si="0"/>
        <v>2164</v>
      </c>
      <c r="O13" s="62">
        <f t="shared" si="1"/>
        <v>216.4</v>
      </c>
      <c r="P13" s="62">
        <f t="shared" si="2"/>
        <v>37.004400000000004</v>
      </c>
      <c r="Q13" s="62">
        <f t="shared" si="3"/>
        <v>10.82</v>
      </c>
      <c r="R13" s="62">
        <f t="shared" si="4"/>
        <v>10.82</v>
      </c>
      <c r="S13" s="43">
        <v>0</v>
      </c>
      <c r="T13" s="43">
        <f t="shared" si="5"/>
        <v>275.0444</v>
      </c>
      <c r="U13" s="43">
        <f t="shared" si="6"/>
        <v>1888.9556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3560.54</v>
      </c>
      <c r="L14" s="62"/>
      <c r="M14" s="43">
        <v>0</v>
      </c>
      <c r="N14" s="62">
        <f t="shared" si="0"/>
        <v>3560.54</v>
      </c>
      <c r="O14" s="62">
        <f t="shared" si="1"/>
        <v>356.05400000000003</v>
      </c>
      <c r="P14" s="62">
        <f t="shared" si="2"/>
        <v>60.885234000000004</v>
      </c>
      <c r="Q14" s="62">
        <f t="shared" si="3"/>
        <v>17.802700000000002</v>
      </c>
      <c r="R14" s="62">
        <f t="shared" si="4"/>
        <v>17.802700000000002</v>
      </c>
      <c r="S14" s="43">
        <v>0</v>
      </c>
      <c r="T14" s="43">
        <f t="shared" si="5"/>
        <v>452.54463400000009</v>
      </c>
      <c r="U14" s="43">
        <f t="shared" si="6"/>
        <v>3107.9953660000001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3543</v>
      </c>
      <c r="L15" s="62"/>
      <c r="M15" s="43">
        <v>0</v>
      </c>
      <c r="N15" s="62">
        <f t="shared" si="0"/>
        <v>3543</v>
      </c>
      <c r="O15" s="62">
        <f t="shared" si="1"/>
        <v>354.3</v>
      </c>
      <c r="P15" s="62">
        <f t="shared" si="2"/>
        <v>60.585300000000004</v>
      </c>
      <c r="Q15" s="62">
        <f t="shared" si="3"/>
        <v>17.715</v>
      </c>
      <c r="R15" s="62">
        <f t="shared" si="4"/>
        <v>17.715</v>
      </c>
      <c r="S15" s="43">
        <v>0</v>
      </c>
      <c r="T15" s="43">
        <f t="shared" si="5"/>
        <v>450.31529999999998</v>
      </c>
      <c r="U15" s="43">
        <f t="shared" si="6"/>
        <v>3092.6846999999998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2164</v>
      </c>
      <c r="L16" s="62"/>
      <c r="M16" s="43">
        <v>0</v>
      </c>
      <c r="N16" s="62">
        <f t="shared" si="0"/>
        <v>2164</v>
      </c>
      <c r="O16" s="62">
        <f t="shared" si="1"/>
        <v>216.4</v>
      </c>
      <c r="P16" s="62">
        <f t="shared" si="2"/>
        <v>37.004400000000004</v>
      </c>
      <c r="Q16" s="62">
        <f t="shared" si="3"/>
        <v>10.82</v>
      </c>
      <c r="R16" s="62">
        <f t="shared" si="4"/>
        <v>10.82</v>
      </c>
      <c r="S16" s="43">
        <v>0</v>
      </c>
      <c r="T16" s="43">
        <f t="shared" si="5"/>
        <v>275.0444</v>
      </c>
      <c r="U16" s="43">
        <f t="shared" si="6"/>
        <v>1888.9556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2393</v>
      </c>
      <c r="L17" s="62"/>
      <c r="M17" s="43">
        <v>0</v>
      </c>
      <c r="N17" s="62">
        <f t="shared" si="0"/>
        <v>2393</v>
      </c>
      <c r="O17" s="62">
        <f t="shared" si="1"/>
        <v>239.3</v>
      </c>
      <c r="P17" s="62">
        <f t="shared" si="2"/>
        <v>40.920300000000005</v>
      </c>
      <c r="Q17" s="62">
        <f t="shared" si="3"/>
        <v>11.965</v>
      </c>
      <c r="R17" s="62">
        <f t="shared" si="4"/>
        <v>11.965</v>
      </c>
      <c r="S17" s="43">
        <v>0</v>
      </c>
      <c r="T17" s="43">
        <f t="shared" si="5"/>
        <v>304.15029999999996</v>
      </c>
      <c r="U17" s="43">
        <f t="shared" si="6"/>
        <v>2088.8497000000002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2164</v>
      </c>
      <c r="L18" s="62"/>
      <c r="M18" s="43">
        <v>0</v>
      </c>
      <c r="N18" s="62">
        <f t="shared" si="0"/>
        <v>2164</v>
      </c>
      <c r="O18" s="62">
        <f t="shared" si="1"/>
        <v>216.4</v>
      </c>
      <c r="P18" s="62">
        <f t="shared" si="2"/>
        <v>37.004400000000004</v>
      </c>
      <c r="Q18" s="62">
        <f t="shared" si="3"/>
        <v>10.82</v>
      </c>
      <c r="R18" s="62">
        <f t="shared" si="4"/>
        <v>10.82</v>
      </c>
      <c r="S18" s="43">
        <v>0</v>
      </c>
      <c r="T18" s="43">
        <f t="shared" si="5"/>
        <v>275.0444</v>
      </c>
      <c r="U18" s="43">
        <f t="shared" si="6"/>
        <v>1888.9556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2164</v>
      </c>
      <c r="L19" s="62"/>
      <c r="M19" s="43">
        <v>324.60000000000002</v>
      </c>
      <c r="N19" s="62">
        <f t="shared" si="0"/>
        <v>2488.6</v>
      </c>
      <c r="O19" s="62">
        <f t="shared" si="1"/>
        <v>248.86</v>
      </c>
      <c r="P19" s="62">
        <f t="shared" si="2"/>
        <v>42.555059999999997</v>
      </c>
      <c r="Q19" s="62">
        <f t="shared" si="3"/>
        <v>12.443</v>
      </c>
      <c r="R19" s="62">
        <f t="shared" si="4"/>
        <v>12.443</v>
      </c>
      <c r="S19" s="43">
        <v>0</v>
      </c>
      <c r="T19" s="43">
        <f t="shared" si="5"/>
        <v>316.30106000000001</v>
      </c>
      <c r="U19" s="43">
        <f t="shared" si="6"/>
        <v>2172.2989399999997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2348</v>
      </c>
      <c r="L20" s="62"/>
      <c r="M20" s="43">
        <v>0</v>
      </c>
      <c r="N20" s="62">
        <f t="shared" si="0"/>
        <v>2348</v>
      </c>
      <c r="O20" s="62">
        <f t="shared" si="1"/>
        <v>234.8</v>
      </c>
      <c r="P20" s="62">
        <f t="shared" si="2"/>
        <v>40.150800000000004</v>
      </c>
      <c r="Q20" s="62">
        <f t="shared" si="3"/>
        <v>11.74</v>
      </c>
      <c r="R20" s="62">
        <f t="shared" si="4"/>
        <v>11.74</v>
      </c>
      <c r="S20" s="43">
        <v>0</v>
      </c>
      <c r="T20" s="43">
        <f t="shared" si="5"/>
        <v>298.43080000000003</v>
      </c>
      <c r="U20" s="43">
        <f t="shared" si="6"/>
        <v>2049.5691999999999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2164</v>
      </c>
      <c r="L21" s="62"/>
      <c r="M21" s="43">
        <v>0</v>
      </c>
      <c r="N21" s="62">
        <f t="shared" si="0"/>
        <v>2164</v>
      </c>
      <c r="O21" s="62">
        <f t="shared" si="1"/>
        <v>216.4</v>
      </c>
      <c r="P21" s="62">
        <f t="shared" si="2"/>
        <v>37.004400000000004</v>
      </c>
      <c r="Q21" s="62">
        <f t="shared" si="3"/>
        <v>10.82</v>
      </c>
      <c r="R21" s="62">
        <f t="shared" si="4"/>
        <v>10.82</v>
      </c>
      <c r="S21" s="43">
        <v>0</v>
      </c>
      <c r="T21" s="43">
        <f t="shared" si="5"/>
        <v>275.0444</v>
      </c>
      <c r="U21" s="43">
        <f t="shared" si="6"/>
        <v>1888.9556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2291.21</v>
      </c>
      <c r="L22" s="62"/>
      <c r="M22" s="43">
        <v>0</v>
      </c>
      <c r="N22" s="62">
        <f t="shared" si="0"/>
        <v>2291.21</v>
      </c>
      <c r="O22" s="62">
        <f t="shared" si="1"/>
        <v>229.12100000000001</v>
      </c>
      <c r="P22" s="62">
        <f t="shared" si="2"/>
        <v>39.179691000000005</v>
      </c>
      <c r="Q22" s="62">
        <f t="shared" si="3"/>
        <v>11.456050000000001</v>
      </c>
      <c r="R22" s="62">
        <f t="shared" si="4"/>
        <v>11.456050000000001</v>
      </c>
      <c r="S22" s="43">
        <v>0</v>
      </c>
      <c r="T22" s="43">
        <f t="shared" si="5"/>
        <v>291.21279100000004</v>
      </c>
      <c r="U22" s="43">
        <f t="shared" si="6"/>
        <v>1999.9972090000001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2164</v>
      </c>
      <c r="L23" s="62"/>
      <c r="M23" s="43">
        <v>0</v>
      </c>
      <c r="N23" s="62">
        <f t="shared" si="0"/>
        <v>2164</v>
      </c>
      <c r="O23" s="62">
        <f t="shared" si="1"/>
        <v>216.4</v>
      </c>
      <c r="P23" s="62">
        <f t="shared" si="2"/>
        <v>37.004400000000004</v>
      </c>
      <c r="Q23" s="62">
        <f t="shared" si="3"/>
        <v>10.82</v>
      </c>
      <c r="R23" s="62">
        <f t="shared" si="4"/>
        <v>10.82</v>
      </c>
      <c r="S23" s="43">
        <v>0</v>
      </c>
      <c r="T23" s="43">
        <f t="shared" si="5"/>
        <v>275.0444</v>
      </c>
      <c r="U23" s="43">
        <f t="shared" si="6"/>
        <v>1888.9556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2164</v>
      </c>
      <c r="L24" s="62"/>
      <c r="M24" s="43">
        <v>0</v>
      </c>
      <c r="N24" s="62">
        <f t="shared" si="0"/>
        <v>2164</v>
      </c>
      <c r="O24" s="62">
        <f t="shared" si="1"/>
        <v>216.4</v>
      </c>
      <c r="P24" s="62">
        <f t="shared" si="2"/>
        <v>37.004400000000004</v>
      </c>
      <c r="Q24" s="62">
        <f t="shared" si="3"/>
        <v>10.82</v>
      </c>
      <c r="R24" s="62">
        <f t="shared" si="4"/>
        <v>10.82</v>
      </c>
      <c r="S24" s="43">
        <v>0</v>
      </c>
      <c r="T24" s="43">
        <f t="shared" si="5"/>
        <v>275.0444</v>
      </c>
      <c r="U24" s="43">
        <f t="shared" si="6"/>
        <v>1888.9556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2272.42</v>
      </c>
      <c r="L25" s="62"/>
      <c r="M25" s="43">
        <v>0</v>
      </c>
      <c r="N25" s="62">
        <f t="shared" si="0"/>
        <v>2272.42</v>
      </c>
      <c r="O25" s="62">
        <f t="shared" si="1"/>
        <v>227.24200000000002</v>
      </c>
      <c r="P25" s="62">
        <f t="shared" si="2"/>
        <v>38.858382000000006</v>
      </c>
      <c r="Q25" s="62">
        <f t="shared" si="3"/>
        <v>11.3621</v>
      </c>
      <c r="R25" s="62">
        <f t="shared" si="4"/>
        <v>11.3621</v>
      </c>
      <c r="S25" s="43">
        <v>0</v>
      </c>
      <c r="T25" s="43">
        <f t="shared" si="5"/>
        <v>288.82458200000002</v>
      </c>
      <c r="U25" s="43">
        <f t="shared" si="6"/>
        <v>1983.5954180000001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2164</v>
      </c>
      <c r="L26" s="62"/>
      <c r="M26" s="43">
        <v>0</v>
      </c>
      <c r="N26" s="62">
        <f t="shared" si="0"/>
        <v>2164</v>
      </c>
      <c r="O26" s="62">
        <f t="shared" si="1"/>
        <v>216.4</v>
      </c>
      <c r="P26" s="62">
        <f t="shared" si="2"/>
        <v>37.004400000000004</v>
      </c>
      <c r="Q26" s="62">
        <f t="shared" si="3"/>
        <v>10.82</v>
      </c>
      <c r="R26" s="62">
        <f t="shared" si="4"/>
        <v>10.82</v>
      </c>
      <c r="S26" s="43">
        <v>0</v>
      </c>
      <c r="T26" s="43">
        <f t="shared" si="5"/>
        <v>275.0444</v>
      </c>
      <c r="U26" s="43">
        <f t="shared" si="6"/>
        <v>1888.9556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2164</v>
      </c>
      <c r="L27" s="62"/>
      <c r="M27" s="43">
        <v>0</v>
      </c>
      <c r="N27" s="62">
        <f t="shared" si="0"/>
        <v>2164</v>
      </c>
      <c r="O27" s="62">
        <f t="shared" si="1"/>
        <v>216.4</v>
      </c>
      <c r="P27" s="62">
        <f t="shared" si="2"/>
        <v>37.004400000000004</v>
      </c>
      <c r="Q27" s="62">
        <f t="shared" si="3"/>
        <v>10.82</v>
      </c>
      <c r="R27" s="62">
        <f t="shared" si="4"/>
        <v>10.82</v>
      </c>
      <c r="S27" s="43">
        <v>0</v>
      </c>
      <c r="T27" s="43">
        <f t="shared" si="5"/>
        <v>275.0444</v>
      </c>
      <c r="U27" s="43">
        <f t="shared" si="6"/>
        <v>1888.9556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2393</v>
      </c>
      <c r="L28" s="62"/>
      <c r="M28" s="43">
        <v>0</v>
      </c>
      <c r="N28" s="62">
        <f t="shared" si="0"/>
        <v>2393</v>
      </c>
      <c r="O28" s="62">
        <f t="shared" si="1"/>
        <v>239.3</v>
      </c>
      <c r="P28" s="62">
        <f t="shared" si="2"/>
        <v>40.920300000000005</v>
      </c>
      <c r="Q28" s="62">
        <f t="shared" si="3"/>
        <v>11.965</v>
      </c>
      <c r="R28" s="62">
        <f t="shared" si="4"/>
        <v>11.965</v>
      </c>
      <c r="S28" s="43">
        <v>0</v>
      </c>
      <c r="T28" s="43">
        <f t="shared" si="5"/>
        <v>304.15029999999996</v>
      </c>
      <c r="U28" s="43">
        <f t="shared" si="6"/>
        <v>2088.8497000000002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2164</v>
      </c>
      <c r="L29" s="69"/>
      <c r="M29" s="43">
        <v>0</v>
      </c>
      <c r="N29" s="62">
        <f t="shared" si="0"/>
        <v>2164</v>
      </c>
      <c r="O29" s="62">
        <f t="shared" si="1"/>
        <v>216.4</v>
      </c>
      <c r="P29" s="62">
        <f t="shared" si="2"/>
        <v>37.004400000000004</v>
      </c>
      <c r="Q29" s="62">
        <f t="shared" si="3"/>
        <v>10.82</v>
      </c>
      <c r="R29" s="62">
        <f t="shared" si="4"/>
        <v>10.82</v>
      </c>
      <c r="S29" s="43">
        <v>0</v>
      </c>
      <c r="T29" s="43">
        <f t="shared" si="5"/>
        <v>275.0444</v>
      </c>
      <c r="U29" s="43">
        <f t="shared" si="6"/>
        <v>1888.9556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2164</v>
      </c>
      <c r="L30" s="69"/>
      <c r="M30" s="43">
        <v>0</v>
      </c>
      <c r="N30" s="62">
        <f t="shared" si="0"/>
        <v>2164</v>
      </c>
      <c r="O30" s="62">
        <f t="shared" si="1"/>
        <v>216.4</v>
      </c>
      <c r="P30" s="62">
        <f t="shared" si="2"/>
        <v>37.004400000000004</v>
      </c>
      <c r="Q30" s="62">
        <f t="shared" si="3"/>
        <v>10.82</v>
      </c>
      <c r="R30" s="62">
        <f t="shared" si="4"/>
        <v>10.82</v>
      </c>
      <c r="S30" s="43">
        <v>0</v>
      </c>
      <c r="T30" s="43">
        <f t="shared" si="5"/>
        <v>275.0444</v>
      </c>
      <c r="U30" s="43">
        <f t="shared" si="6"/>
        <v>1888.9556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46933.17</v>
      </c>
      <c r="L31" s="32"/>
      <c r="M31" s="32">
        <f t="shared" ref="M31" si="7">SUM(M14:M28)</f>
        <v>324.60000000000002</v>
      </c>
      <c r="N31" s="32">
        <f>SUM(N11:N30)</f>
        <v>47257.77</v>
      </c>
      <c r="O31" s="32">
        <f>SUM(O11:O30)</f>
        <v>4725.777</v>
      </c>
      <c r="P31" s="32">
        <f>SUM(P11:P30)</f>
        <v>808.10786700000028</v>
      </c>
      <c r="Q31" s="32">
        <f>SUM(Q11:Q30)</f>
        <v>236.28884999999994</v>
      </c>
      <c r="R31" s="32">
        <f>SUM(R11:R30)</f>
        <v>236.28884999999994</v>
      </c>
      <c r="S31" s="32">
        <f>SUM(S14:S30)</f>
        <v>0</v>
      </c>
      <c r="T31" s="32">
        <f>SUM(T11:T30)</f>
        <v>6006.4625669999987</v>
      </c>
      <c r="U31" s="32">
        <f>SUM(U11:U30)</f>
        <v>41251.307433000002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6006.4625669999987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156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Z35"/>
  <sheetViews>
    <sheetView topLeftCell="A4" workbookViewId="0">
      <selection activeCell="K33" sqref="K33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157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62">
        <f t="shared" si="1"/>
        <v>225</v>
      </c>
      <c r="P12" s="62">
        <f t="shared" si="2"/>
        <v>38.475000000000001</v>
      </c>
      <c r="Q12" s="62">
        <f t="shared" si="3"/>
        <v>11.25</v>
      </c>
      <c r="R12" s="62">
        <f t="shared" si="4"/>
        <v>11.25</v>
      </c>
      <c r="S12" s="43">
        <v>0</v>
      </c>
      <c r="T12" s="43">
        <f t="shared" si="5"/>
        <v>285.97500000000002</v>
      </c>
      <c r="U12" s="43">
        <f t="shared" si="6"/>
        <v>1964.0250000000001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62">
        <f t="shared" si="1"/>
        <v>225</v>
      </c>
      <c r="P13" s="62">
        <f t="shared" si="2"/>
        <v>38.475000000000001</v>
      </c>
      <c r="Q13" s="62">
        <f t="shared" si="3"/>
        <v>11.25</v>
      </c>
      <c r="R13" s="62">
        <f t="shared" si="4"/>
        <v>11.25</v>
      </c>
      <c r="S13" s="43">
        <v>0</v>
      </c>
      <c r="T13" s="43">
        <f t="shared" si="5"/>
        <v>285.97500000000002</v>
      </c>
      <c r="U13" s="43">
        <f t="shared" si="6"/>
        <v>1964.0250000000001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62">
        <f t="shared" si="1"/>
        <v>366.73600000000005</v>
      </c>
      <c r="P14" s="62">
        <f t="shared" si="2"/>
        <v>62.711856000000004</v>
      </c>
      <c r="Q14" s="62">
        <f t="shared" si="3"/>
        <v>18.3368</v>
      </c>
      <c r="R14" s="62">
        <f t="shared" si="4"/>
        <v>18.3368</v>
      </c>
      <c r="S14" s="43">
        <v>0</v>
      </c>
      <c r="T14" s="43">
        <f t="shared" si="5"/>
        <v>466.12145600000002</v>
      </c>
      <c r="U14" s="43">
        <f t="shared" si="6"/>
        <v>3201.2385440000003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62">
        <f t="shared" si="1"/>
        <v>364.92900000000003</v>
      </c>
      <c r="P15" s="62">
        <f t="shared" si="2"/>
        <v>62.402858999999999</v>
      </c>
      <c r="Q15" s="62">
        <f t="shared" si="3"/>
        <v>18.246449999999999</v>
      </c>
      <c r="R15" s="62">
        <f t="shared" si="4"/>
        <v>18.246449999999999</v>
      </c>
      <c r="S15" s="43">
        <v>0</v>
      </c>
      <c r="T15" s="43">
        <f t="shared" si="5"/>
        <v>463.82475899999997</v>
      </c>
      <c r="U15" s="43">
        <f t="shared" si="6"/>
        <v>3185.4652409999999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62">
        <f t="shared" si="1"/>
        <v>225</v>
      </c>
      <c r="P16" s="62">
        <f t="shared" si="2"/>
        <v>38.475000000000001</v>
      </c>
      <c r="Q16" s="62">
        <f t="shared" si="3"/>
        <v>11.25</v>
      </c>
      <c r="R16" s="62">
        <f t="shared" si="4"/>
        <v>11.25</v>
      </c>
      <c r="S16" s="43">
        <v>0</v>
      </c>
      <c r="T16" s="43">
        <f t="shared" si="5"/>
        <v>285.97500000000002</v>
      </c>
      <c r="U16" s="43">
        <f t="shared" si="6"/>
        <v>1964.0250000000001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62">
        <f t="shared" si="1"/>
        <v>246.47900000000001</v>
      </c>
      <c r="P17" s="62">
        <f t="shared" si="2"/>
        <v>42.147908999999999</v>
      </c>
      <c r="Q17" s="62">
        <f t="shared" si="3"/>
        <v>12.32395</v>
      </c>
      <c r="R17" s="62">
        <f t="shared" si="4"/>
        <v>12.32395</v>
      </c>
      <c r="S17" s="43">
        <v>0</v>
      </c>
      <c r="T17" s="43">
        <f t="shared" si="5"/>
        <v>313.27480900000006</v>
      </c>
      <c r="U17" s="43">
        <f t="shared" si="6"/>
        <v>2151.515191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62">
        <f t="shared" si="1"/>
        <v>241.84400000000002</v>
      </c>
      <c r="P20" s="62">
        <f t="shared" si="2"/>
        <v>41.355324000000003</v>
      </c>
      <c r="Q20" s="62">
        <f t="shared" si="3"/>
        <v>12.0922</v>
      </c>
      <c r="R20" s="62">
        <f t="shared" si="4"/>
        <v>12.0922</v>
      </c>
      <c r="S20" s="43">
        <v>0</v>
      </c>
      <c r="T20" s="43">
        <f t="shared" si="5"/>
        <v>307.38372400000003</v>
      </c>
      <c r="U20" s="43">
        <f t="shared" si="6"/>
        <v>2111.0562760000003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62">
        <f t="shared" si="1"/>
        <v>225</v>
      </c>
      <c r="P26" s="62">
        <f t="shared" si="2"/>
        <v>38.475000000000001</v>
      </c>
      <c r="Q26" s="62">
        <f t="shared" si="3"/>
        <v>11.25</v>
      </c>
      <c r="R26" s="62">
        <f t="shared" si="4"/>
        <v>11.25</v>
      </c>
      <c r="S26" s="43">
        <v>0</v>
      </c>
      <c r="T26" s="43">
        <f t="shared" si="5"/>
        <v>285.97500000000002</v>
      </c>
      <c r="U26" s="43">
        <f t="shared" si="6"/>
        <v>1964.0250000000001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62">
        <f t="shared" si="1"/>
        <v>225</v>
      </c>
      <c r="P27" s="62">
        <f t="shared" si="2"/>
        <v>38.475000000000001</v>
      </c>
      <c r="Q27" s="62">
        <f t="shared" si="3"/>
        <v>11.25</v>
      </c>
      <c r="R27" s="62">
        <f t="shared" si="4"/>
        <v>11.25</v>
      </c>
      <c r="S27" s="43">
        <v>0</v>
      </c>
      <c r="T27" s="43">
        <f t="shared" si="5"/>
        <v>285.97500000000002</v>
      </c>
      <c r="U27" s="43">
        <f t="shared" si="6"/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7">SUM(M14:M28)</f>
        <v>337.5</v>
      </c>
      <c r="N31" s="32">
        <f>SUM(N11:N30)</f>
        <v>48952.71</v>
      </c>
      <c r="O31" s="32">
        <f>SUM(O11:O30)</f>
        <v>4895.2710000000006</v>
      </c>
      <c r="P31" s="32">
        <f>SUM(P11:P30)</f>
        <v>837.09134100000028</v>
      </c>
      <c r="Q31" s="32">
        <f>SUM(Q11:Q30)</f>
        <v>244.76354999999998</v>
      </c>
      <c r="R31" s="32">
        <f>SUM(R11:R30)</f>
        <v>244.76354999999998</v>
      </c>
      <c r="S31" s="32">
        <f>SUM(S14:S30)</f>
        <v>0</v>
      </c>
      <c r="T31" s="32">
        <f>SUM(T11:T30)</f>
        <v>6221.889441000003</v>
      </c>
      <c r="U31" s="32">
        <f>SUM(U11:U30)</f>
        <v>42730.820559000007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6221.889441000003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158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35"/>
  <sheetViews>
    <sheetView zoomScale="91" zoomScaleNormal="91" workbookViewId="0">
      <selection activeCell="K36" sqref="K36"/>
    </sheetView>
  </sheetViews>
  <sheetFormatPr baseColWidth="10" defaultRowHeight="15"/>
  <cols>
    <col min="1" max="1" width="2.7109375" customWidth="1"/>
    <col min="2" max="2" width="10.85546875" customWidth="1"/>
    <col min="3" max="3" width="28.42578125" customWidth="1"/>
    <col min="4" max="4" width="11.42578125" hidden="1" customWidth="1"/>
    <col min="5" max="5" width="0.140625" style="9" hidden="1" customWidth="1"/>
    <col min="6" max="6" width="12.28515625" customWidth="1"/>
    <col min="7" max="7" width="9.28515625" customWidth="1"/>
    <col min="8" max="8" width="6.140625" customWidth="1"/>
    <col min="9" max="9" width="0.140625" hidden="1" customWidth="1"/>
    <col min="10" max="10" width="5" customWidth="1"/>
    <col min="11" max="11" width="8.5703125" customWidth="1"/>
    <col min="12" max="12" width="7.28515625" customWidth="1"/>
    <col min="13" max="13" width="9.7109375" customWidth="1"/>
    <col min="14" max="14" width="8.5703125" customWidth="1"/>
    <col min="15" max="15" width="9.140625" customWidth="1"/>
    <col min="16" max="16" width="7" customWidth="1"/>
    <col min="17" max="17" width="8.42578125" customWidth="1"/>
    <col min="18" max="18" width="7.7109375" customWidth="1"/>
    <col min="19" max="19" width="7.85546875" customWidth="1"/>
    <col min="20" max="22" width="6.7109375" customWidth="1"/>
    <col min="23" max="23" width="6.140625" customWidth="1"/>
    <col min="24" max="24" width="7.140625" customWidth="1"/>
    <col min="25" max="25" width="8.140625" customWidth="1"/>
    <col min="26" max="26" width="17.28515625" customWidth="1"/>
    <col min="27" max="28" width="11.42578125" style="18" customWidth="1"/>
  </cols>
  <sheetData>
    <row r="1" spans="1:28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3"/>
      <c r="N1" s="3"/>
      <c r="O1" s="3"/>
      <c r="P1" s="1"/>
      <c r="Q1" s="1"/>
      <c r="R1" s="1"/>
      <c r="S1" s="1"/>
      <c r="T1" s="1"/>
      <c r="U1" s="1"/>
      <c r="V1" s="1"/>
      <c r="W1" s="1"/>
      <c r="X1" s="51"/>
      <c r="Y1" s="1"/>
      <c r="Z1" s="51" t="s">
        <v>33</v>
      </c>
      <c r="AA1" s="51"/>
    </row>
    <row r="2" spans="1:28">
      <c r="A2" s="2" t="s">
        <v>0</v>
      </c>
      <c r="B2" s="1"/>
      <c r="C2" s="1"/>
      <c r="D2" s="1"/>
      <c r="E2" s="4"/>
      <c r="F2" s="81"/>
      <c r="G2" s="1"/>
      <c r="H2" s="1"/>
      <c r="I2" s="1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51"/>
      <c r="Y2" s="51"/>
      <c r="Z2" s="51"/>
      <c r="AA2" s="17"/>
    </row>
    <row r="3" spans="1:28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2"/>
      <c r="Y3" s="1"/>
      <c r="Z3" s="1"/>
      <c r="AA3" s="17"/>
    </row>
    <row r="4" spans="1:28" s="26" customFormat="1" ht="12" customHeight="1">
      <c r="A4" s="237" t="s">
        <v>159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7"/>
      <c r="AB4" s="27"/>
    </row>
    <row r="5" spans="1:28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7"/>
      <c r="AB5" s="27"/>
    </row>
    <row r="6" spans="1:28" s="26" customFormat="1" ht="10.5" customHeight="1">
      <c r="A6" s="237"/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7"/>
      <c r="AB6" s="27"/>
    </row>
    <row r="7" spans="1:28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6"/>
      <c r="Q7" s="6"/>
      <c r="R7" s="6"/>
      <c r="S7" s="4"/>
      <c r="T7" s="4"/>
      <c r="U7" s="4"/>
      <c r="V7" s="4"/>
      <c r="W7" s="4"/>
      <c r="X7" s="4"/>
      <c r="AA7" s="7">
        <v>42399</v>
      </c>
      <c r="AB7" s="8">
        <v>1656</v>
      </c>
    </row>
    <row r="8" spans="1:28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47"/>
      <c r="N8" s="47"/>
      <c r="O8" s="47"/>
      <c r="P8" s="234" t="s">
        <v>11</v>
      </c>
      <c r="Q8" s="77" t="s">
        <v>118</v>
      </c>
      <c r="R8" s="234" t="s">
        <v>126</v>
      </c>
      <c r="S8" s="231" t="s">
        <v>13</v>
      </c>
      <c r="T8" s="232"/>
      <c r="U8" s="232"/>
      <c r="V8" s="232"/>
      <c r="W8" s="233"/>
      <c r="X8" s="234" t="s">
        <v>75</v>
      </c>
      <c r="Y8" s="234" t="s">
        <v>27</v>
      </c>
      <c r="Z8" s="234" t="s">
        <v>14</v>
      </c>
    </row>
    <row r="9" spans="1:28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114</v>
      </c>
      <c r="M9" s="48" t="s">
        <v>115</v>
      </c>
      <c r="N9" s="48" t="s">
        <v>116</v>
      </c>
      <c r="O9" s="48" t="s">
        <v>117</v>
      </c>
      <c r="P9" s="235"/>
      <c r="Q9" s="78" t="s">
        <v>11</v>
      </c>
      <c r="R9" s="235"/>
      <c r="S9" s="25" t="s">
        <v>26</v>
      </c>
      <c r="T9" s="24" t="s">
        <v>25</v>
      </c>
      <c r="U9" s="24" t="s">
        <v>23</v>
      </c>
      <c r="V9" s="24" t="s">
        <v>24</v>
      </c>
      <c r="W9" s="25" t="s">
        <v>16</v>
      </c>
      <c r="X9" s="235"/>
      <c r="Y9" s="235"/>
      <c r="Z9" s="235"/>
    </row>
    <row r="10" spans="1:28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80">
        <v>2022</v>
      </c>
      <c r="M10" s="80">
        <v>2022</v>
      </c>
      <c r="N10" s="80">
        <v>2022</v>
      </c>
      <c r="O10" s="80">
        <v>2021</v>
      </c>
      <c r="P10" s="236"/>
      <c r="Q10" s="79" t="s">
        <v>119</v>
      </c>
      <c r="R10" s="236"/>
      <c r="S10" s="11">
        <v>0.1</v>
      </c>
      <c r="T10" s="10">
        <v>1.7100000000000001E-2</v>
      </c>
      <c r="U10" s="12">
        <v>5.0000000000000001E-3</v>
      </c>
      <c r="V10" s="13">
        <v>5.0000000000000001E-3</v>
      </c>
      <c r="W10" s="11">
        <v>0.13</v>
      </c>
      <c r="X10" s="236"/>
      <c r="Y10" s="236"/>
      <c r="Z10" s="236"/>
    </row>
    <row r="11" spans="1:28" ht="22.5" customHeight="1">
      <c r="A11" s="57">
        <v>1</v>
      </c>
      <c r="B11" s="56" t="s">
        <v>99</v>
      </c>
      <c r="C11" s="66" t="s">
        <v>121</v>
      </c>
      <c r="D11" s="55"/>
      <c r="E11" s="55"/>
      <c r="F11" s="82" t="s">
        <v>100</v>
      </c>
      <c r="G11" s="59">
        <v>44593</v>
      </c>
      <c r="H11" s="97">
        <v>6</v>
      </c>
      <c r="I11" s="98"/>
      <c r="J11" s="99">
        <v>30</v>
      </c>
      <c r="K11" s="61">
        <v>2164</v>
      </c>
      <c r="L11" s="88"/>
      <c r="M11" s="88">
        <v>86</v>
      </c>
      <c r="N11" s="88">
        <v>86</v>
      </c>
      <c r="O11" s="88">
        <v>86</v>
      </c>
      <c r="P11" s="96">
        <v>0</v>
      </c>
      <c r="Q11" s="43"/>
      <c r="R11" s="62">
        <f>L11+M11+N11+O11+Q11</f>
        <v>258</v>
      </c>
      <c r="S11" s="62">
        <f t="shared" ref="S11:S30" si="0">+R11*0.1</f>
        <v>25.8</v>
      </c>
      <c r="T11" s="62">
        <f t="shared" ref="T11:T30" si="1">+R11*0.0171</f>
        <v>4.4118000000000004</v>
      </c>
      <c r="U11" s="62">
        <f t="shared" ref="U11:U30" si="2">+R11*0.005</f>
        <v>1.29</v>
      </c>
      <c r="V11" s="62">
        <f t="shared" ref="V11:V30" si="3">R11*0.5%</f>
        <v>1.29</v>
      </c>
      <c r="W11" s="43">
        <v>0</v>
      </c>
      <c r="X11" s="43">
        <f t="shared" ref="X11:X30" si="4">+S11+T11+U11+V11+W11</f>
        <v>32.791800000000002</v>
      </c>
      <c r="Y11" s="43">
        <f t="shared" ref="Y11:Y30" si="5">+R11-X11</f>
        <v>225.20820000000001</v>
      </c>
      <c r="Z11" s="55"/>
    </row>
    <row r="12" spans="1:28" ht="22.5" customHeight="1">
      <c r="A12" s="57">
        <v>2</v>
      </c>
      <c r="B12" s="41" t="s">
        <v>29</v>
      </c>
      <c r="C12" s="41" t="s">
        <v>60</v>
      </c>
      <c r="D12" s="42"/>
      <c r="E12" s="14"/>
      <c r="F12" s="87" t="s">
        <v>30</v>
      </c>
      <c r="G12" s="30">
        <v>44593</v>
      </c>
      <c r="H12" s="97">
        <v>6</v>
      </c>
      <c r="I12" s="98"/>
      <c r="J12" s="99">
        <v>30</v>
      </c>
      <c r="K12" s="61">
        <v>2164</v>
      </c>
      <c r="L12" s="88"/>
      <c r="M12" s="88">
        <v>86</v>
      </c>
      <c r="N12" s="88">
        <v>86</v>
      </c>
      <c r="O12" s="88">
        <v>86</v>
      </c>
      <c r="P12" s="96">
        <v>0</v>
      </c>
      <c r="Q12" s="43"/>
      <c r="R12" s="62">
        <f t="shared" ref="R12:R30" si="6">L12+M12+N12+O12+Q12</f>
        <v>258</v>
      </c>
      <c r="S12" s="62">
        <f t="shared" si="0"/>
        <v>25.8</v>
      </c>
      <c r="T12" s="62">
        <f t="shared" si="1"/>
        <v>4.4118000000000004</v>
      </c>
      <c r="U12" s="62">
        <f t="shared" si="2"/>
        <v>1.29</v>
      </c>
      <c r="V12" s="62">
        <f t="shared" si="3"/>
        <v>1.29</v>
      </c>
      <c r="W12" s="43">
        <v>0</v>
      </c>
      <c r="X12" s="43">
        <f t="shared" si="4"/>
        <v>32.791800000000002</v>
      </c>
      <c r="Y12" s="43">
        <f t="shared" si="5"/>
        <v>225.20820000000001</v>
      </c>
      <c r="Z12" s="55"/>
    </row>
    <row r="13" spans="1:28" ht="22.5" customHeight="1">
      <c r="A13" s="57">
        <v>3</v>
      </c>
      <c r="B13" s="41" t="s">
        <v>67</v>
      </c>
      <c r="C13" s="41" t="s">
        <v>68</v>
      </c>
      <c r="D13" s="42"/>
      <c r="E13" s="14"/>
      <c r="F13" s="83" t="s">
        <v>32</v>
      </c>
      <c r="G13" s="30">
        <v>44593</v>
      </c>
      <c r="H13" s="100">
        <v>5</v>
      </c>
      <c r="I13" s="101"/>
      <c r="J13" s="97">
        <v>30</v>
      </c>
      <c r="K13" s="62">
        <v>2164</v>
      </c>
      <c r="L13" s="89"/>
      <c r="M13" s="88">
        <v>86</v>
      </c>
      <c r="N13" s="89">
        <v>86</v>
      </c>
      <c r="O13" s="90">
        <v>86</v>
      </c>
      <c r="P13" s="96">
        <v>0</v>
      </c>
      <c r="Q13" s="43"/>
      <c r="R13" s="62">
        <f t="shared" si="6"/>
        <v>258</v>
      </c>
      <c r="S13" s="62">
        <f t="shared" si="0"/>
        <v>25.8</v>
      </c>
      <c r="T13" s="62">
        <f t="shared" si="1"/>
        <v>4.4118000000000004</v>
      </c>
      <c r="U13" s="62">
        <f t="shared" si="2"/>
        <v>1.29</v>
      </c>
      <c r="V13" s="62">
        <f t="shared" si="3"/>
        <v>1.29</v>
      </c>
      <c r="W13" s="43">
        <v>0</v>
      </c>
      <c r="X13" s="43">
        <f t="shared" si="4"/>
        <v>32.791800000000002</v>
      </c>
      <c r="Y13" s="43">
        <f t="shared" si="5"/>
        <v>225.20820000000001</v>
      </c>
      <c r="Z13" s="55"/>
    </row>
    <row r="14" spans="1:28" ht="22.5" customHeight="1">
      <c r="A14" s="57">
        <v>4</v>
      </c>
      <c r="B14" s="41" t="s">
        <v>44</v>
      </c>
      <c r="C14" s="41" t="s">
        <v>61</v>
      </c>
      <c r="D14" s="42"/>
      <c r="E14" s="14"/>
      <c r="F14" s="83" t="s">
        <v>49</v>
      </c>
      <c r="G14" s="30">
        <v>44593</v>
      </c>
      <c r="H14" s="100">
        <v>6</v>
      </c>
      <c r="I14" s="101"/>
      <c r="J14" s="97">
        <v>30</v>
      </c>
      <c r="K14" s="62">
        <v>3560.54</v>
      </c>
      <c r="L14" s="91"/>
      <c r="M14" s="91">
        <f>K14*3%</f>
        <v>106.81619999999999</v>
      </c>
      <c r="N14" s="91">
        <f>K14*3%</f>
        <v>106.81619999999999</v>
      </c>
      <c r="O14" s="91">
        <f>K14*3%</f>
        <v>106.81619999999999</v>
      </c>
      <c r="P14" s="96">
        <v>0</v>
      </c>
      <c r="Q14" s="43"/>
      <c r="R14" s="62">
        <f t="shared" si="6"/>
        <v>320.4486</v>
      </c>
      <c r="S14" s="62">
        <f t="shared" si="0"/>
        <v>32.04486</v>
      </c>
      <c r="T14" s="62">
        <f t="shared" si="1"/>
        <v>5.4796710600000003</v>
      </c>
      <c r="U14" s="62">
        <f t="shared" si="2"/>
        <v>1.6022430000000001</v>
      </c>
      <c r="V14" s="62">
        <f t="shared" si="3"/>
        <v>1.6022430000000001</v>
      </c>
      <c r="W14" s="43">
        <v>0</v>
      </c>
      <c r="X14" s="43">
        <f t="shared" si="4"/>
        <v>40.729017060000004</v>
      </c>
      <c r="Y14" s="43">
        <f t="shared" si="5"/>
        <v>279.71958294000001</v>
      </c>
      <c r="Z14" s="44"/>
      <c r="AB14" s="45"/>
    </row>
    <row r="15" spans="1:28" ht="22.5" customHeight="1">
      <c r="A15" s="57">
        <v>5</v>
      </c>
      <c r="B15" s="41" t="s">
        <v>79</v>
      </c>
      <c r="C15" s="41" t="s">
        <v>80</v>
      </c>
      <c r="D15" s="42"/>
      <c r="E15" s="14"/>
      <c r="F15" s="87" t="s">
        <v>81</v>
      </c>
      <c r="G15" s="30">
        <v>44593</v>
      </c>
      <c r="H15" s="102">
        <v>6</v>
      </c>
      <c r="I15" s="103"/>
      <c r="J15" s="104">
        <v>30</v>
      </c>
      <c r="K15" s="38">
        <v>3543</v>
      </c>
      <c r="L15" s="92"/>
      <c r="M15" s="91">
        <f>K15*3%</f>
        <v>106.28999999999999</v>
      </c>
      <c r="N15" s="91">
        <f>K15*3%</f>
        <v>106.28999999999999</v>
      </c>
      <c r="O15" s="91">
        <f>K15*3%</f>
        <v>106.28999999999999</v>
      </c>
      <c r="P15" s="96">
        <v>0</v>
      </c>
      <c r="Q15" s="43"/>
      <c r="R15" s="62">
        <f t="shared" si="6"/>
        <v>318.87</v>
      </c>
      <c r="S15" s="62">
        <f t="shared" si="0"/>
        <v>31.887</v>
      </c>
      <c r="T15" s="62">
        <f t="shared" si="1"/>
        <v>5.4526770000000004</v>
      </c>
      <c r="U15" s="62">
        <f t="shared" si="2"/>
        <v>1.5943500000000002</v>
      </c>
      <c r="V15" s="62">
        <f t="shared" si="3"/>
        <v>1.5943500000000002</v>
      </c>
      <c r="W15" s="43">
        <v>0</v>
      </c>
      <c r="X15" s="43">
        <f t="shared" si="4"/>
        <v>40.528376999999999</v>
      </c>
      <c r="Y15" s="43">
        <f t="shared" si="5"/>
        <v>278.34162300000003</v>
      </c>
      <c r="Z15" s="44"/>
      <c r="AB15" s="45"/>
    </row>
    <row r="16" spans="1:28" ht="22.5" customHeight="1">
      <c r="A16" s="57">
        <v>6</v>
      </c>
      <c r="B16" s="41" t="s">
        <v>105</v>
      </c>
      <c r="C16" s="41" t="s">
        <v>104</v>
      </c>
      <c r="D16" s="42"/>
      <c r="E16" s="14"/>
      <c r="F16" s="83" t="s">
        <v>32</v>
      </c>
      <c r="G16" s="30">
        <v>44593</v>
      </c>
      <c r="H16" s="102">
        <v>5</v>
      </c>
      <c r="I16" s="103"/>
      <c r="J16" s="104">
        <v>30</v>
      </c>
      <c r="K16" s="38">
        <v>2164</v>
      </c>
      <c r="L16" s="92"/>
      <c r="M16" s="88">
        <v>86</v>
      </c>
      <c r="N16" s="91">
        <v>86</v>
      </c>
      <c r="O16" s="91">
        <v>86</v>
      </c>
      <c r="P16" s="96">
        <v>0</v>
      </c>
      <c r="Q16" s="43"/>
      <c r="R16" s="62">
        <f t="shared" si="6"/>
        <v>258</v>
      </c>
      <c r="S16" s="62">
        <f t="shared" si="0"/>
        <v>25.8</v>
      </c>
      <c r="T16" s="62">
        <f t="shared" si="1"/>
        <v>4.4118000000000004</v>
      </c>
      <c r="U16" s="62">
        <f t="shared" si="2"/>
        <v>1.29</v>
      </c>
      <c r="V16" s="62">
        <f t="shared" si="3"/>
        <v>1.29</v>
      </c>
      <c r="W16" s="43">
        <v>0</v>
      </c>
      <c r="X16" s="43">
        <f t="shared" si="4"/>
        <v>32.791800000000002</v>
      </c>
      <c r="Y16" s="43">
        <f t="shared" si="5"/>
        <v>225.20820000000001</v>
      </c>
      <c r="Z16" s="44"/>
      <c r="AB16" s="45"/>
    </row>
    <row r="17" spans="1:28" ht="22.5" customHeight="1">
      <c r="A17" s="57">
        <v>7</v>
      </c>
      <c r="B17" s="41" t="s">
        <v>69</v>
      </c>
      <c r="C17" s="41" t="s">
        <v>70</v>
      </c>
      <c r="D17" s="42"/>
      <c r="E17" s="14"/>
      <c r="F17" s="83" t="s">
        <v>71</v>
      </c>
      <c r="G17" s="30">
        <v>44577</v>
      </c>
      <c r="H17" s="100">
        <v>6</v>
      </c>
      <c r="I17" s="101"/>
      <c r="J17" s="97">
        <v>30</v>
      </c>
      <c r="K17" s="62">
        <v>2393</v>
      </c>
      <c r="L17" s="91">
        <v>35.9</v>
      </c>
      <c r="M17" s="91">
        <f>K17*3%</f>
        <v>71.789999999999992</v>
      </c>
      <c r="N17" s="91">
        <f>K17*3%</f>
        <v>71.789999999999992</v>
      </c>
      <c r="O17" s="91">
        <f>K17*3%</f>
        <v>71.789999999999992</v>
      </c>
      <c r="P17" s="96">
        <v>0</v>
      </c>
      <c r="Q17" s="43"/>
      <c r="R17" s="62">
        <f t="shared" si="6"/>
        <v>251.26999999999998</v>
      </c>
      <c r="S17" s="62">
        <f t="shared" si="0"/>
        <v>25.126999999999999</v>
      </c>
      <c r="T17" s="62">
        <f t="shared" si="1"/>
        <v>4.2967170000000001</v>
      </c>
      <c r="U17" s="62">
        <f t="shared" si="2"/>
        <v>1.2563499999999999</v>
      </c>
      <c r="V17" s="62">
        <f t="shared" si="3"/>
        <v>1.2563499999999999</v>
      </c>
      <c r="W17" s="43">
        <v>0</v>
      </c>
      <c r="X17" s="43">
        <f t="shared" si="4"/>
        <v>31.936417000000002</v>
      </c>
      <c r="Y17" s="43">
        <f t="shared" si="5"/>
        <v>219.33358299999998</v>
      </c>
      <c r="Z17" s="44"/>
      <c r="AB17" s="45"/>
    </row>
    <row r="18" spans="1:28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84" t="s">
        <v>40</v>
      </c>
      <c r="G18" s="30">
        <v>44593</v>
      </c>
      <c r="H18" s="97">
        <v>5</v>
      </c>
      <c r="I18" s="96">
        <v>2122</v>
      </c>
      <c r="J18" s="97">
        <v>30</v>
      </c>
      <c r="K18" s="62">
        <v>2164</v>
      </c>
      <c r="L18" s="91"/>
      <c r="M18" s="91">
        <v>86</v>
      </c>
      <c r="N18" s="91">
        <v>86</v>
      </c>
      <c r="O18" s="91">
        <v>86</v>
      </c>
      <c r="P18" s="96">
        <v>0</v>
      </c>
      <c r="Q18" s="43"/>
      <c r="R18" s="62">
        <f t="shared" si="6"/>
        <v>258</v>
      </c>
      <c r="S18" s="62">
        <f t="shared" si="0"/>
        <v>25.8</v>
      </c>
      <c r="T18" s="62">
        <f t="shared" si="1"/>
        <v>4.4118000000000004</v>
      </c>
      <c r="U18" s="62">
        <f t="shared" si="2"/>
        <v>1.29</v>
      </c>
      <c r="V18" s="62">
        <f t="shared" si="3"/>
        <v>1.29</v>
      </c>
      <c r="W18" s="43">
        <v>0</v>
      </c>
      <c r="X18" s="43">
        <f t="shared" si="4"/>
        <v>32.791800000000002</v>
      </c>
      <c r="Y18" s="43">
        <f t="shared" si="5"/>
        <v>225.20820000000001</v>
      </c>
      <c r="Z18" s="44"/>
      <c r="AB18" s="45"/>
    </row>
    <row r="19" spans="1:28" ht="22.5" customHeight="1">
      <c r="A19" s="57">
        <v>9</v>
      </c>
      <c r="B19" s="41" t="s">
        <v>45</v>
      </c>
      <c r="C19" s="41" t="s">
        <v>46</v>
      </c>
      <c r="D19" s="42"/>
      <c r="E19" s="14"/>
      <c r="F19" s="83" t="s">
        <v>47</v>
      </c>
      <c r="G19" s="30">
        <v>43101</v>
      </c>
      <c r="H19" s="100">
        <v>6</v>
      </c>
      <c r="I19" s="101"/>
      <c r="J19" s="97">
        <v>30</v>
      </c>
      <c r="K19" s="62">
        <v>2164</v>
      </c>
      <c r="L19" s="91">
        <v>86</v>
      </c>
      <c r="M19" s="91">
        <v>86</v>
      </c>
      <c r="N19" s="91">
        <v>86</v>
      </c>
      <c r="O19" s="91">
        <v>86</v>
      </c>
      <c r="P19" s="96">
        <v>324.60000000000002</v>
      </c>
      <c r="Q19" s="43">
        <v>51.6</v>
      </c>
      <c r="R19" s="62">
        <f t="shared" si="6"/>
        <v>395.6</v>
      </c>
      <c r="S19" s="62">
        <f t="shared" si="0"/>
        <v>39.56</v>
      </c>
      <c r="T19" s="62">
        <f t="shared" si="1"/>
        <v>6.7647600000000008</v>
      </c>
      <c r="U19" s="62">
        <f t="shared" si="2"/>
        <v>1.9780000000000002</v>
      </c>
      <c r="V19" s="62">
        <f t="shared" si="3"/>
        <v>1.9780000000000002</v>
      </c>
      <c r="W19" s="43">
        <v>0</v>
      </c>
      <c r="X19" s="43">
        <f t="shared" si="4"/>
        <v>50.280760000000008</v>
      </c>
      <c r="Y19" s="43">
        <f t="shared" si="5"/>
        <v>345.31924000000004</v>
      </c>
      <c r="Z19" s="44"/>
      <c r="AB19" s="45"/>
    </row>
    <row r="20" spans="1:28" ht="22.5" customHeight="1">
      <c r="A20" s="57">
        <v>10</v>
      </c>
      <c r="B20" s="41" t="s">
        <v>31</v>
      </c>
      <c r="C20" s="41" t="s">
        <v>62</v>
      </c>
      <c r="D20" s="42"/>
      <c r="E20" s="14"/>
      <c r="F20" s="83" t="s">
        <v>32</v>
      </c>
      <c r="G20" s="30">
        <v>44593</v>
      </c>
      <c r="H20" s="102">
        <v>5</v>
      </c>
      <c r="I20" s="103"/>
      <c r="J20" s="104">
        <v>30</v>
      </c>
      <c r="K20" s="38">
        <v>2348</v>
      </c>
      <c r="L20" s="92"/>
      <c r="M20" s="91">
        <f>K20*3%</f>
        <v>70.44</v>
      </c>
      <c r="N20" s="91">
        <f>K20*3%</f>
        <v>70.44</v>
      </c>
      <c r="O20" s="91">
        <f>K20*3%</f>
        <v>70.44</v>
      </c>
      <c r="P20" s="96">
        <v>0</v>
      </c>
      <c r="Q20" s="43"/>
      <c r="R20" s="62">
        <f t="shared" si="6"/>
        <v>211.32</v>
      </c>
      <c r="S20" s="62">
        <f t="shared" si="0"/>
        <v>21.132000000000001</v>
      </c>
      <c r="T20" s="62">
        <f t="shared" si="1"/>
        <v>3.613572</v>
      </c>
      <c r="U20" s="62">
        <f t="shared" si="2"/>
        <v>1.0566</v>
      </c>
      <c r="V20" s="62">
        <f t="shared" si="3"/>
        <v>1.0566</v>
      </c>
      <c r="W20" s="43">
        <v>0</v>
      </c>
      <c r="X20" s="43">
        <f t="shared" si="4"/>
        <v>26.858772000000002</v>
      </c>
      <c r="Y20" s="43">
        <f t="shared" si="5"/>
        <v>184.46122800000001</v>
      </c>
      <c r="Z20" s="44"/>
      <c r="AB20" s="45"/>
    </row>
    <row r="21" spans="1:28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102">
        <v>4</v>
      </c>
      <c r="I21" s="103"/>
      <c r="J21" s="104">
        <v>30</v>
      </c>
      <c r="K21" s="38">
        <v>2164</v>
      </c>
      <c r="L21" s="92"/>
      <c r="M21" s="91">
        <v>86</v>
      </c>
      <c r="N21" s="91">
        <v>86</v>
      </c>
      <c r="O21" s="91">
        <v>86</v>
      </c>
      <c r="P21" s="96">
        <v>0</v>
      </c>
      <c r="Q21" s="43"/>
      <c r="R21" s="62">
        <f t="shared" si="6"/>
        <v>258</v>
      </c>
      <c r="S21" s="62">
        <f t="shared" si="0"/>
        <v>25.8</v>
      </c>
      <c r="T21" s="62">
        <f t="shared" si="1"/>
        <v>4.4118000000000004</v>
      </c>
      <c r="U21" s="62">
        <f t="shared" si="2"/>
        <v>1.29</v>
      </c>
      <c r="V21" s="62">
        <f t="shared" si="3"/>
        <v>1.29</v>
      </c>
      <c r="W21" s="43">
        <v>0</v>
      </c>
      <c r="X21" s="43">
        <f t="shared" si="4"/>
        <v>32.791800000000002</v>
      </c>
      <c r="Y21" s="43">
        <f t="shared" si="5"/>
        <v>225.20820000000001</v>
      </c>
      <c r="Z21" s="44"/>
      <c r="AB21" s="45"/>
    </row>
    <row r="22" spans="1:28" ht="22.5" customHeight="1">
      <c r="A22" s="57">
        <v>12</v>
      </c>
      <c r="B22" s="41" t="s">
        <v>52</v>
      </c>
      <c r="C22" s="41" t="s">
        <v>128</v>
      </c>
      <c r="D22" s="42"/>
      <c r="E22" s="14"/>
      <c r="F22" s="83" t="s">
        <v>40</v>
      </c>
      <c r="G22" s="30">
        <v>44593</v>
      </c>
      <c r="H22" s="102">
        <v>6</v>
      </c>
      <c r="I22" s="103"/>
      <c r="J22" s="104">
        <v>30</v>
      </c>
      <c r="K22" s="38">
        <v>2291.21</v>
      </c>
      <c r="L22" s="92"/>
      <c r="M22" s="91">
        <f>K22*3%</f>
        <v>68.7363</v>
      </c>
      <c r="N22" s="91">
        <f>K22*3%</f>
        <v>68.7363</v>
      </c>
      <c r="O22" s="91">
        <f>K22*3%</f>
        <v>68.7363</v>
      </c>
      <c r="P22" s="96">
        <v>0</v>
      </c>
      <c r="Q22" s="43"/>
      <c r="R22" s="62">
        <f t="shared" si="6"/>
        <v>206.2089</v>
      </c>
      <c r="S22" s="62">
        <f t="shared" si="0"/>
        <v>20.620890000000003</v>
      </c>
      <c r="T22" s="62">
        <f t="shared" si="1"/>
        <v>3.52617219</v>
      </c>
      <c r="U22" s="62">
        <f t="shared" si="2"/>
        <v>1.0310444999999999</v>
      </c>
      <c r="V22" s="62">
        <f t="shared" si="3"/>
        <v>1.0310444999999999</v>
      </c>
      <c r="W22" s="43">
        <v>0</v>
      </c>
      <c r="X22" s="43">
        <f t="shared" si="4"/>
        <v>26.209151190000004</v>
      </c>
      <c r="Y22" s="43">
        <f t="shared" si="5"/>
        <v>179.99974881</v>
      </c>
      <c r="Z22" s="44"/>
      <c r="AB22" s="45"/>
    </row>
    <row r="23" spans="1:28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83" t="s">
        <v>40</v>
      </c>
      <c r="G23" s="30">
        <v>44593</v>
      </c>
      <c r="H23" s="100">
        <v>5</v>
      </c>
      <c r="I23" s="101"/>
      <c r="J23" s="97">
        <v>30</v>
      </c>
      <c r="K23" s="62">
        <v>2164</v>
      </c>
      <c r="L23" s="91"/>
      <c r="M23" s="91">
        <v>86</v>
      </c>
      <c r="N23" s="91">
        <v>86</v>
      </c>
      <c r="O23" s="91">
        <v>86</v>
      </c>
      <c r="P23" s="96">
        <v>0</v>
      </c>
      <c r="Q23" s="43"/>
      <c r="R23" s="62">
        <f t="shared" si="6"/>
        <v>258</v>
      </c>
      <c r="S23" s="62">
        <f t="shared" si="0"/>
        <v>25.8</v>
      </c>
      <c r="T23" s="62">
        <f t="shared" si="1"/>
        <v>4.4118000000000004</v>
      </c>
      <c r="U23" s="62">
        <f t="shared" si="2"/>
        <v>1.29</v>
      </c>
      <c r="V23" s="62">
        <f t="shared" si="3"/>
        <v>1.29</v>
      </c>
      <c r="W23" s="43">
        <v>0</v>
      </c>
      <c r="X23" s="43">
        <f t="shared" si="4"/>
        <v>32.791800000000002</v>
      </c>
      <c r="Y23" s="43">
        <f t="shared" si="5"/>
        <v>225.20820000000001</v>
      </c>
      <c r="Z23" s="44"/>
      <c r="AB23" s="45"/>
    </row>
    <row r="24" spans="1:28" ht="22.5" customHeight="1">
      <c r="A24" s="57">
        <v>14</v>
      </c>
      <c r="B24" s="41" t="s">
        <v>82</v>
      </c>
      <c r="C24" s="41" t="s">
        <v>83</v>
      </c>
      <c r="D24" s="42"/>
      <c r="E24" s="14"/>
      <c r="F24" s="83" t="s">
        <v>36</v>
      </c>
      <c r="G24" s="30">
        <v>44593</v>
      </c>
      <c r="H24" s="102">
        <v>4</v>
      </c>
      <c r="I24" s="103"/>
      <c r="J24" s="104">
        <v>30</v>
      </c>
      <c r="K24" s="38">
        <v>2164</v>
      </c>
      <c r="L24" s="92"/>
      <c r="M24" s="91">
        <v>86</v>
      </c>
      <c r="N24" s="91">
        <v>86</v>
      </c>
      <c r="O24" s="91">
        <v>86</v>
      </c>
      <c r="P24" s="96">
        <v>0</v>
      </c>
      <c r="Q24" s="43"/>
      <c r="R24" s="62">
        <f t="shared" si="6"/>
        <v>258</v>
      </c>
      <c r="S24" s="62">
        <f t="shared" si="0"/>
        <v>25.8</v>
      </c>
      <c r="T24" s="62">
        <f t="shared" si="1"/>
        <v>4.4118000000000004</v>
      </c>
      <c r="U24" s="62">
        <f t="shared" si="2"/>
        <v>1.29</v>
      </c>
      <c r="V24" s="62">
        <f t="shared" si="3"/>
        <v>1.29</v>
      </c>
      <c r="W24" s="43">
        <v>0</v>
      </c>
      <c r="X24" s="43">
        <f t="shared" si="4"/>
        <v>32.791800000000002</v>
      </c>
      <c r="Y24" s="43">
        <f t="shared" si="5"/>
        <v>225.20820000000001</v>
      </c>
      <c r="Z24" s="44"/>
      <c r="AB24" s="45"/>
    </row>
    <row r="25" spans="1:28" ht="22.5" customHeight="1">
      <c r="A25" s="57">
        <v>15</v>
      </c>
      <c r="B25" s="41" t="s">
        <v>35</v>
      </c>
      <c r="C25" s="41" t="s">
        <v>64</v>
      </c>
      <c r="D25" s="42"/>
      <c r="E25" s="14"/>
      <c r="F25" s="83" t="s">
        <v>36</v>
      </c>
      <c r="G25" s="30">
        <v>44593</v>
      </c>
      <c r="H25" s="102">
        <v>4</v>
      </c>
      <c r="I25" s="103"/>
      <c r="J25" s="104">
        <v>30</v>
      </c>
      <c r="K25" s="38">
        <v>2272.42</v>
      </c>
      <c r="L25" s="92"/>
      <c r="M25" s="91">
        <f>K25*3%</f>
        <v>68.172600000000003</v>
      </c>
      <c r="N25" s="91">
        <f>K25*3%</f>
        <v>68.172600000000003</v>
      </c>
      <c r="O25" s="91">
        <f>K25*3%</f>
        <v>68.172600000000003</v>
      </c>
      <c r="P25" s="96">
        <v>0</v>
      </c>
      <c r="Q25" s="43"/>
      <c r="R25" s="62">
        <f t="shared" si="6"/>
        <v>204.51780000000002</v>
      </c>
      <c r="S25" s="62">
        <f t="shared" si="0"/>
        <v>20.451780000000003</v>
      </c>
      <c r="T25" s="62">
        <f t="shared" si="1"/>
        <v>3.4972543800000007</v>
      </c>
      <c r="U25" s="62">
        <f t="shared" si="2"/>
        <v>1.0225890000000002</v>
      </c>
      <c r="V25" s="62">
        <f t="shared" si="3"/>
        <v>1.0225890000000002</v>
      </c>
      <c r="W25" s="43">
        <v>0</v>
      </c>
      <c r="X25" s="43">
        <f t="shared" si="4"/>
        <v>25.994212380000004</v>
      </c>
      <c r="Y25" s="43">
        <f t="shared" si="5"/>
        <v>178.52358762000003</v>
      </c>
      <c r="Z25" s="44"/>
      <c r="AB25" s="45"/>
    </row>
    <row r="26" spans="1:28" ht="22.5" customHeight="1">
      <c r="A26" s="57">
        <v>16</v>
      </c>
      <c r="B26" s="41" t="s">
        <v>41</v>
      </c>
      <c r="C26" s="41" t="s">
        <v>72</v>
      </c>
      <c r="D26" s="42"/>
      <c r="E26" s="14"/>
      <c r="F26" s="83" t="s">
        <v>73</v>
      </c>
      <c r="G26" s="30">
        <v>44593</v>
      </c>
      <c r="H26" s="102">
        <v>6</v>
      </c>
      <c r="I26" s="103"/>
      <c r="J26" s="104">
        <v>30</v>
      </c>
      <c r="K26" s="38">
        <v>2164</v>
      </c>
      <c r="L26" s="92"/>
      <c r="M26" s="91">
        <v>86</v>
      </c>
      <c r="N26" s="91">
        <v>86</v>
      </c>
      <c r="O26" s="91">
        <v>86</v>
      </c>
      <c r="P26" s="96">
        <v>0</v>
      </c>
      <c r="Q26" s="43"/>
      <c r="R26" s="62">
        <f t="shared" si="6"/>
        <v>258</v>
      </c>
      <c r="S26" s="62">
        <f t="shared" si="0"/>
        <v>25.8</v>
      </c>
      <c r="T26" s="62">
        <f t="shared" si="1"/>
        <v>4.4118000000000004</v>
      </c>
      <c r="U26" s="62">
        <f t="shared" si="2"/>
        <v>1.29</v>
      </c>
      <c r="V26" s="62">
        <f t="shared" si="3"/>
        <v>1.29</v>
      </c>
      <c r="W26" s="43">
        <v>0</v>
      </c>
      <c r="X26" s="43">
        <f t="shared" si="4"/>
        <v>32.791800000000002</v>
      </c>
      <c r="Y26" s="43">
        <f t="shared" si="5"/>
        <v>225.20820000000001</v>
      </c>
      <c r="Z26" s="44"/>
      <c r="AB26" s="45"/>
    </row>
    <row r="27" spans="1:28" ht="22.5" customHeight="1">
      <c r="A27" s="57">
        <v>17</v>
      </c>
      <c r="B27" s="41" t="s">
        <v>77</v>
      </c>
      <c r="C27" s="41" t="s">
        <v>125</v>
      </c>
      <c r="D27" s="42"/>
      <c r="E27" s="14"/>
      <c r="F27" s="83" t="s">
        <v>32</v>
      </c>
      <c r="G27" s="30">
        <v>44593</v>
      </c>
      <c r="H27" s="102">
        <v>5</v>
      </c>
      <c r="I27" s="103"/>
      <c r="J27" s="104">
        <v>30</v>
      </c>
      <c r="K27" s="38">
        <v>2164</v>
      </c>
      <c r="L27" s="92"/>
      <c r="M27" s="91">
        <v>86</v>
      </c>
      <c r="N27" s="91">
        <v>86</v>
      </c>
      <c r="O27" s="91">
        <v>86</v>
      </c>
      <c r="P27" s="96">
        <v>0</v>
      </c>
      <c r="Q27" s="43"/>
      <c r="R27" s="62">
        <f t="shared" si="6"/>
        <v>258</v>
      </c>
      <c r="S27" s="62">
        <f t="shared" si="0"/>
        <v>25.8</v>
      </c>
      <c r="T27" s="62">
        <f t="shared" si="1"/>
        <v>4.4118000000000004</v>
      </c>
      <c r="U27" s="62">
        <f t="shared" si="2"/>
        <v>1.29</v>
      </c>
      <c r="V27" s="62">
        <f t="shared" si="3"/>
        <v>1.29</v>
      </c>
      <c r="W27" s="43">
        <v>0</v>
      </c>
      <c r="X27" s="43">
        <f t="shared" si="4"/>
        <v>32.791800000000002</v>
      </c>
      <c r="Y27" s="43">
        <f t="shared" si="5"/>
        <v>225.20820000000001</v>
      </c>
      <c r="Z27" s="44"/>
      <c r="AB27" s="45"/>
    </row>
    <row r="28" spans="1:28" ht="22.5" customHeight="1">
      <c r="A28" s="57">
        <v>18</v>
      </c>
      <c r="B28" s="70" t="s">
        <v>50</v>
      </c>
      <c r="C28" s="70" t="s">
        <v>66</v>
      </c>
      <c r="D28" s="71"/>
      <c r="E28" s="72"/>
      <c r="F28" s="85" t="s">
        <v>51</v>
      </c>
      <c r="G28" s="73">
        <v>44593</v>
      </c>
      <c r="H28" s="105">
        <v>5</v>
      </c>
      <c r="I28" s="103"/>
      <c r="J28" s="106">
        <v>30</v>
      </c>
      <c r="K28" s="38">
        <v>2393</v>
      </c>
      <c r="L28" s="92"/>
      <c r="M28" s="91">
        <f>K28*3%</f>
        <v>71.789999999999992</v>
      </c>
      <c r="N28" s="91">
        <f>K28*3%</f>
        <v>71.789999999999992</v>
      </c>
      <c r="O28" s="91">
        <f>K28*3%</f>
        <v>71.789999999999992</v>
      </c>
      <c r="P28" s="96">
        <v>0</v>
      </c>
      <c r="Q28" s="43"/>
      <c r="R28" s="62">
        <f t="shared" si="6"/>
        <v>215.36999999999998</v>
      </c>
      <c r="S28" s="62">
        <f t="shared" si="0"/>
        <v>21.536999999999999</v>
      </c>
      <c r="T28" s="62">
        <f t="shared" si="1"/>
        <v>3.6828269999999996</v>
      </c>
      <c r="U28" s="62">
        <f t="shared" si="2"/>
        <v>1.0768499999999999</v>
      </c>
      <c r="V28" s="62">
        <f t="shared" si="3"/>
        <v>1.0768499999999999</v>
      </c>
      <c r="W28" s="43">
        <v>0</v>
      </c>
      <c r="X28" s="43">
        <f t="shared" si="4"/>
        <v>27.373526999999999</v>
      </c>
      <c r="Y28" s="43">
        <f t="shared" si="5"/>
        <v>187.99647299999998</v>
      </c>
      <c r="Z28" s="44"/>
      <c r="AB28" s="45"/>
    </row>
    <row r="29" spans="1:28" ht="22.5" customHeight="1">
      <c r="A29" s="57">
        <v>19</v>
      </c>
      <c r="B29" s="41" t="s">
        <v>43</v>
      </c>
      <c r="C29" s="41" t="s">
        <v>124</v>
      </c>
      <c r="D29" s="42"/>
      <c r="E29" s="14"/>
      <c r="F29" s="83" t="s">
        <v>36</v>
      </c>
      <c r="G29" s="30">
        <v>44593</v>
      </c>
      <c r="H29" s="102">
        <v>5</v>
      </c>
      <c r="I29" s="107"/>
      <c r="J29" s="106">
        <v>30</v>
      </c>
      <c r="K29" s="68">
        <v>2164</v>
      </c>
      <c r="L29" s="93"/>
      <c r="M29" s="91">
        <v>86</v>
      </c>
      <c r="N29" s="94">
        <v>86</v>
      </c>
      <c r="O29" s="94">
        <v>86</v>
      </c>
      <c r="P29" s="96">
        <v>0</v>
      </c>
      <c r="Q29" s="43"/>
      <c r="R29" s="62">
        <f t="shared" si="6"/>
        <v>258</v>
      </c>
      <c r="S29" s="62">
        <f t="shared" si="0"/>
        <v>25.8</v>
      </c>
      <c r="T29" s="62">
        <f t="shared" si="1"/>
        <v>4.4118000000000004</v>
      </c>
      <c r="U29" s="62">
        <f t="shared" si="2"/>
        <v>1.29</v>
      </c>
      <c r="V29" s="62">
        <f t="shared" si="3"/>
        <v>1.29</v>
      </c>
      <c r="W29" s="43">
        <v>0</v>
      </c>
      <c r="X29" s="43">
        <f t="shared" si="4"/>
        <v>32.791800000000002</v>
      </c>
      <c r="Y29" s="43">
        <f t="shared" si="5"/>
        <v>225.20820000000001</v>
      </c>
      <c r="Z29" s="44"/>
      <c r="AB29" s="45"/>
    </row>
    <row r="30" spans="1:28" ht="22.5" customHeight="1">
      <c r="A30" s="57">
        <v>20</v>
      </c>
      <c r="B30" s="41" t="s">
        <v>37</v>
      </c>
      <c r="C30" s="41" t="s">
        <v>38</v>
      </c>
      <c r="D30" s="42"/>
      <c r="E30" s="14"/>
      <c r="F30" s="83" t="s">
        <v>34</v>
      </c>
      <c r="G30" s="30">
        <v>44593</v>
      </c>
      <c r="H30" s="102">
        <v>5</v>
      </c>
      <c r="I30" s="107"/>
      <c r="J30" s="106">
        <v>30</v>
      </c>
      <c r="K30" s="68">
        <v>2164</v>
      </c>
      <c r="L30" s="93"/>
      <c r="M30" s="91">
        <v>86</v>
      </c>
      <c r="N30" s="94">
        <v>86</v>
      </c>
      <c r="O30" s="94">
        <v>86</v>
      </c>
      <c r="P30" s="96">
        <v>0</v>
      </c>
      <c r="Q30" s="43"/>
      <c r="R30" s="62">
        <f t="shared" si="6"/>
        <v>258</v>
      </c>
      <c r="S30" s="62">
        <f t="shared" si="0"/>
        <v>25.8</v>
      </c>
      <c r="T30" s="62">
        <f t="shared" si="1"/>
        <v>4.4118000000000004</v>
      </c>
      <c r="U30" s="62">
        <f t="shared" si="2"/>
        <v>1.29</v>
      </c>
      <c r="V30" s="62">
        <f t="shared" si="3"/>
        <v>1.29</v>
      </c>
      <c r="W30" s="43">
        <v>0</v>
      </c>
      <c r="X30" s="43">
        <f t="shared" si="4"/>
        <v>32.791800000000002</v>
      </c>
      <c r="Y30" s="43">
        <f t="shared" si="5"/>
        <v>225.20820000000001</v>
      </c>
      <c r="Z30" s="44"/>
      <c r="AB30" s="45"/>
    </row>
    <row r="31" spans="1:28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46933.17</v>
      </c>
      <c r="L31" s="95">
        <f>SUM(L11:L30)</f>
        <v>121.9</v>
      </c>
      <c r="M31" s="95">
        <f>SUM(M11:M30)</f>
        <v>1682.0351000000001</v>
      </c>
      <c r="N31" s="95">
        <f>SUM(N11:N30)</f>
        <v>1682.0351000000001</v>
      </c>
      <c r="O31" s="95">
        <f>SUM(O11:O30)</f>
        <v>1682.0351000000001</v>
      </c>
      <c r="P31" s="95">
        <f t="shared" ref="P31" si="7">SUM(P14:P28)</f>
        <v>324.60000000000002</v>
      </c>
      <c r="Q31" s="32">
        <f t="shared" ref="Q31:V31" si="8">SUM(Q11:Q30)</f>
        <v>51.6</v>
      </c>
      <c r="R31" s="32">
        <f t="shared" si="8"/>
        <v>5219.6053000000002</v>
      </c>
      <c r="S31" s="32">
        <f t="shared" si="8"/>
        <v>521.96053000000006</v>
      </c>
      <c r="T31" s="32">
        <f t="shared" si="8"/>
        <v>89.255250630000006</v>
      </c>
      <c r="U31" s="32">
        <f t="shared" si="8"/>
        <v>26.098026499999996</v>
      </c>
      <c r="V31" s="32">
        <f t="shared" si="8"/>
        <v>26.098026499999996</v>
      </c>
      <c r="W31" s="32">
        <f>SUM(W14:W30)</f>
        <v>0</v>
      </c>
      <c r="X31" s="32">
        <f>SUM(X11:X30)</f>
        <v>663.41183362999993</v>
      </c>
      <c r="Y31" s="32">
        <f>SUM(Y11:Y30)</f>
        <v>4556.1934663700004</v>
      </c>
      <c r="Z31" s="19"/>
    </row>
    <row r="32" spans="1:28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 s="23">
        <f>SUM(X31:X31)</f>
        <v>663.41183362999993</v>
      </c>
      <c r="Y32" s="23"/>
    </row>
    <row r="33" spans="1:26">
      <c r="R33" s="46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160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</sheetData>
  <mergeCells count="17">
    <mergeCell ref="R8:R10"/>
    <mergeCell ref="S8:W8"/>
    <mergeCell ref="X8:X10"/>
    <mergeCell ref="Y8:Y10"/>
    <mergeCell ref="A4:Z4"/>
    <mergeCell ref="A5:Z5"/>
    <mergeCell ref="A6:Z6"/>
    <mergeCell ref="A8:A10"/>
    <mergeCell ref="B8:B10"/>
    <mergeCell ref="C8:C10"/>
    <mergeCell ref="D8:D10"/>
    <mergeCell ref="E8:E10"/>
    <mergeCell ref="F8:F10"/>
    <mergeCell ref="G8:G10"/>
    <mergeCell ref="Z8:Z10"/>
    <mergeCell ref="K8:K10"/>
    <mergeCell ref="P8:P10"/>
  </mergeCells>
  <pageMargins left="0.19685039370078741" right="0" top="0" bottom="0" header="0.27559055118110237" footer="0.31496062992125984"/>
  <pageSetup paperSize="5" scale="77" orientation="landscape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35"/>
  <sheetViews>
    <sheetView topLeftCell="A14" workbookViewId="0">
      <selection activeCell="U36" sqref="U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161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62">
        <f t="shared" si="1"/>
        <v>225</v>
      </c>
      <c r="P12" s="62">
        <f t="shared" si="2"/>
        <v>38.475000000000001</v>
      </c>
      <c r="Q12" s="62">
        <f t="shared" si="3"/>
        <v>11.25</v>
      </c>
      <c r="R12" s="62">
        <f t="shared" si="4"/>
        <v>11.25</v>
      </c>
      <c r="S12" s="43">
        <v>0</v>
      </c>
      <c r="T12" s="43">
        <f t="shared" si="5"/>
        <v>285.97500000000002</v>
      </c>
      <c r="U12" s="43">
        <f t="shared" si="6"/>
        <v>1964.0250000000001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62">
        <f t="shared" si="1"/>
        <v>225</v>
      </c>
      <c r="P13" s="62">
        <f t="shared" si="2"/>
        <v>38.475000000000001</v>
      </c>
      <c r="Q13" s="62">
        <f t="shared" si="3"/>
        <v>11.25</v>
      </c>
      <c r="R13" s="62">
        <f t="shared" si="4"/>
        <v>11.25</v>
      </c>
      <c r="S13" s="43">
        <v>0</v>
      </c>
      <c r="T13" s="43">
        <f t="shared" si="5"/>
        <v>285.97500000000002</v>
      </c>
      <c r="U13" s="43">
        <f t="shared" si="6"/>
        <v>1964.0250000000001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62">
        <f t="shared" si="1"/>
        <v>366.73600000000005</v>
      </c>
      <c r="P14" s="62">
        <f t="shared" si="2"/>
        <v>62.711856000000004</v>
      </c>
      <c r="Q14" s="62">
        <f t="shared" si="3"/>
        <v>18.3368</v>
      </c>
      <c r="R14" s="62">
        <f t="shared" si="4"/>
        <v>18.3368</v>
      </c>
      <c r="S14" s="43">
        <v>0</v>
      </c>
      <c r="T14" s="43">
        <f t="shared" si="5"/>
        <v>466.12145600000002</v>
      </c>
      <c r="U14" s="43">
        <f t="shared" si="6"/>
        <v>3201.2385440000003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62">
        <f t="shared" si="1"/>
        <v>364.92900000000003</v>
      </c>
      <c r="P15" s="62">
        <f t="shared" si="2"/>
        <v>62.402858999999999</v>
      </c>
      <c r="Q15" s="62">
        <f t="shared" si="3"/>
        <v>18.246449999999999</v>
      </c>
      <c r="R15" s="62">
        <f t="shared" si="4"/>
        <v>18.246449999999999</v>
      </c>
      <c r="S15" s="43">
        <v>0</v>
      </c>
      <c r="T15" s="43">
        <f t="shared" si="5"/>
        <v>463.82475899999997</v>
      </c>
      <c r="U15" s="43">
        <f t="shared" si="6"/>
        <v>3185.4652409999999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62">
        <f t="shared" si="1"/>
        <v>225</v>
      </c>
      <c r="P16" s="62">
        <f t="shared" si="2"/>
        <v>38.475000000000001</v>
      </c>
      <c r="Q16" s="62">
        <f t="shared" si="3"/>
        <v>11.25</v>
      </c>
      <c r="R16" s="62">
        <f t="shared" si="4"/>
        <v>11.25</v>
      </c>
      <c r="S16" s="43">
        <v>0</v>
      </c>
      <c r="T16" s="43">
        <f t="shared" si="5"/>
        <v>285.97500000000002</v>
      </c>
      <c r="U16" s="43">
        <f t="shared" si="6"/>
        <v>1964.0250000000001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62">
        <f t="shared" si="1"/>
        <v>246.47900000000001</v>
      </c>
      <c r="P17" s="62">
        <f t="shared" si="2"/>
        <v>42.147908999999999</v>
      </c>
      <c r="Q17" s="62">
        <f t="shared" si="3"/>
        <v>12.32395</v>
      </c>
      <c r="R17" s="62">
        <f t="shared" si="4"/>
        <v>12.32395</v>
      </c>
      <c r="S17" s="43">
        <v>0</v>
      </c>
      <c r="T17" s="43">
        <f t="shared" si="5"/>
        <v>313.27480900000006</v>
      </c>
      <c r="U17" s="43">
        <f t="shared" si="6"/>
        <v>2151.515191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62">
        <f t="shared" si="1"/>
        <v>241.84400000000002</v>
      </c>
      <c r="P20" s="62">
        <f t="shared" si="2"/>
        <v>41.355324000000003</v>
      </c>
      <c r="Q20" s="62">
        <f t="shared" si="3"/>
        <v>12.0922</v>
      </c>
      <c r="R20" s="62">
        <f t="shared" si="4"/>
        <v>12.0922</v>
      </c>
      <c r="S20" s="43">
        <v>0</v>
      </c>
      <c r="T20" s="43">
        <f t="shared" si="5"/>
        <v>307.38372400000003</v>
      </c>
      <c r="U20" s="43">
        <f t="shared" si="6"/>
        <v>2111.0562760000003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62">
        <f t="shared" si="1"/>
        <v>225</v>
      </c>
      <c r="P26" s="62">
        <f t="shared" si="2"/>
        <v>38.475000000000001</v>
      </c>
      <c r="Q26" s="62">
        <f t="shared" si="3"/>
        <v>11.25</v>
      </c>
      <c r="R26" s="62">
        <f t="shared" si="4"/>
        <v>11.25</v>
      </c>
      <c r="S26" s="43">
        <v>0</v>
      </c>
      <c r="T26" s="43">
        <f t="shared" si="5"/>
        <v>285.97500000000002</v>
      </c>
      <c r="U26" s="43">
        <f t="shared" si="6"/>
        <v>1964.0250000000001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62">
        <f t="shared" si="1"/>
        <v>225</v>
      </c>
      <c r="P27" s="62">
        <f t="shared" si="2"/>
        <v>38.475000000000001</v>
      </c>
      <c r="Q27" s="62">
        <f t="shared" si="3"/>
        <v>11.25</v>
      </c>
      <c r="R27" s="62">
        <f t="shared" si="4"/>
        <v>11.25</v>
      </c>
      <c r="S27" s="43">
        <v>0</v>
      </c>
      <c r="T27" s="43">
        <f t="shared" si="5"/>
        <v>285.97500000000002</v>
      </c>
      <c r="U27" s="43">
        <f t="shared" si="6"/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7">SUM(M14:M28)</f>
        <v>337.5</v>
      </c>
      <c r="N31" s="32">
        <f>SUM(N11:N30)</f>
        <v>48952.71</v>
      </c>
      <c r="O31" s="32">
        <f>SUM(O11:O30)</f>
        <v>4895.2710000000006</v>
      </c>
      <c r="P31" s="32">
        <f>SUM(P11:P30)</f>
        <v>837.09134100000028</v>
      </c>
      <c r="Q31" s="32">
        <f>SUM(Q11:Q30)</f>
        <v>244.76354999999998</v>
      </c>
      <c r="R31" s="32">
        <f>SUM(R11:R30)</f>
        <v>244.76354999999998</v>
      </c>
      <c r="S31" s="32">
        <f>SUM(S14:S30)</f>
        <v>0</v>
      </c>
      <c r="T31" s="32">
        <f>SUM(T11:T30)</f>
        <v>6221.889441000003</v>
      </c>
      <c r="U31" s="32">
        <f>SUM(U11:U30)</f>
        <v>42730.820559000007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6221.889441000003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162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Z35"/>
  <sheetViews>
    <sheetView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163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62">
        <f t="shared" si="1"/>
        <v>225</v>
      </c>
      <c r="P12" s="62">
        <f t="shared" si="2"/>
        <v>38.475000000000001</v>
      </c>
      <c r="Q12" s="62">
        <f t="shared" si="3"/>
        <v>11.25</v>
      </c>
      <c r="R12" s="62">
        <f t="shared" si="4"/>
        <v>11.25</v>
      </c>
      <c r="S12" s="43">
        <v>0</v>
      </c>
      <c r="T12" s="43">
        <f t="shared" si="5"/>
        <v>285.97500000000002</v>
      </c>
      <c r="U12" s="43">
        <f t="shared" si="6"/>
        <v>1964.0250000000001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62">
        <f t="shared" si="1"/>
        <v>225</v>
      </c>
      <c r="P13" s="62">
        <f t="shared" si="2"/>
        <v>38.475000000000001</v>
      </c>
      <c r="Q13" s="62">
        <f t="shared" si="3"/>
        <v>11.25</v>
      </c>
      <c r="R13" s="62">
        <f t="shared" si="4"/>
        <v>11.25</v>
      </c>
      <c r="S13" s="43">
        <v>0</v>
      </c>
      <c r="T13" s="43">
        <f t="shared" si="5"/>
        <v>285.97500000000002</v>
      </c>
      <c r="U13" s="43">
        <f t="shared" si="6"/>
        <v>1964.0250000000001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62">
        <f t="shared" si="1"/>
        <v>366.73600000000005</v>
      </c>
      <c r="P14" s="62">
        <f t="shared" si="2"/>
        <v>62.711856000000004</v>
      </c>
      <c r="Q14" s="62">
        <f t="shared" si="3"/>
        <v>18.3368</v>
      </c>
      <c r="R14" s="62">
        <f t="shared" si="4"/>
        <v>18.3368</v>
      </c>
      <c r="S14" s="43">
        <v>0</v>
      </c>
      <c r="T14" s="43">
        <f t="shared" si="5"/>
        <v>466.12145600000002</v>
      </c>
      <c r="U14" s="43">
        <f t="shared" si="6"/>
        <v>3201.2385440000003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62">
        <f t="shared" si="1"/>
        <v>364.92900000000003</v>
      </c>
      <c r="P15" s="62">
        <f t="shared" si="2"/>
        <v>62.402858999999999</v>
      </c>
      <c r="Q15" s="62">
        <f t="shared" si="3"/>
        <v>18.246449999999999</v>
      </c>
      <c r="R15" s="62">
        <f t="shared" si="4"/>
        <v>18.246449999999999</v>
      </c>
      <c r="S15" s="43">
        <v>0</v>
      </c>
      <c r="T15" s="43">
        <f t="shared" si="5"/>
        <v>463.82475899999997</v>
      </c>
      <c r="U15" s="43">
        <f t="shared" si="6"/>
        <v>3185.4652409999999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62">
        <f t="shared" si="1"/>
        <v>225</v>
      </c>
      <c r="P16" s="62">
        <f t="shared" si="2"/>
        <v>38.475000000000001</v>
      </c>
      <c r="Q16" s="62">
        <f t="shared" si="3"/>
        <v>11.25</v>
      </c>
      <c r="R16" s="62">
        <f t="shared" si="4"/>
        <v>11.25</v>
      </c>
      <c r="S16" s="43">
        <v>0</v>
      </c>
      <c r="T16" s="43">
        <f t="shared" si="5"/>
        <v>285.97500000000002</v>
      </c>
      <c r="U16" s="43">
        <f t="shared" si="6"/>
        <v>1964.0250000000001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62">
        <f t="shared" si="1"/>
        <v>246.47900000000001</v>
      </c>
      <c r="P17" s="62">
        <f t="shared" si="2"/>
        <v>42.147908999999999</v>
      </c>
      <c r="Q17" s="62">
        <f t="shared" si="3"/>
        <v>12.32395</v>
      </c>
      <c r="R17" s="62">
        <f t="shared" si="4"/>
        <v>12.32395</v>
      </c>
      <c r="S17" s="43">
        <v>0</v>
      </c>
      <c r="T17" s="43">
        <f t="shared" si="5"/>
        <v>313.27480900000006</v>
      </c>
      <c r="U17" s="43">
        <f t="shared" si="6"/>
        <v>2151.515191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62">
        <f t="shared" si="1"/>
        <v>241.84400000000002</v>
      </c>
      <c r="P20" s="62">
        <f t="shared" si="2"/>
        <v>41.355324000000003</v>
      </c>
      <c r="Q20" s="62">
        <f t="shared" si="3"/>
        <v>12.0922</v>
      </c>
      <c r="R20" s="62">
        <f t="shared" si="4"/>
        <v>12.0922</v>
      </c>
      <c r="S20" s="43">
        <v>0</v>
      </c>
      <c r="T20" s="43">
        <f t="shared" si="5"/>
        <v>307.38372400000003</v>
      </c>
      <c r="U20" s="43">
        <f t="shared" si="6"/>
        <v>2111.0562760000003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62">
        <f t="shared" si="1"/>
        <v>225</v>
      </c>
      <c r="P26" s="62">
        <f t="shared" si="2"/>
        <v>38.475000000000001</v>
      </c>
      <c r="Q26" s="62">
        <f t="shared" si="3"/>
        <v>11.25</v>
      </c>
      <c r="R26" s="62">
        <f t="shared" si="4"/>
        <v>11.25</v>
      </c>
      <c r="S26" s="43">
        <v>0</v>
      </c>
      <c r="T26" s="43">
        <f t="shared" si="5"/>
        <v>285.97500000000002</v>
      </c>
      <c r="U26" s="43">
        <f t="shared" si="6"/>
        <v>1964.0250000000001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62">
        <f t="shared" si="1"/>
        <v>225</v>
      </c>
      <c r="P27" s="62">
        <f t="shared" si="2"/>
        <v>38.475000000000001</v>
      </c>
      <c r="Q27" s="62">
        <f t="shared" si="3"/>
        <v>11.25</v>
      </c>
      <c r="R27" s="62">
        <f t="shared" si="4"/>
        <v>11.25</v>
      </c>
      <c r="S27" s="43">
        <v>0</v>
      </c>
      <c r="T27" s="43">
        <f t="shared" si="5"/>
        <v>285.97500000000002</v>
      </c>
      <c r="U27" s="43">
        <f t="shared" si="6"/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7">SUM(M14:M28)</f>
        <v>337.5</v>
      </c>
      <c r="N31" s="32">
        <f>SUM(N11:N30)</f>
        <v>48952.71</v>
      </c>
      <c r="O31" s="32">
        <f>SUM(O11:O30)</f>
        <v>4895.2710000000006</v>
      </c>
      <c r="P31" s="32">
        <f>SUM(P11:P30)</f>
        <v>837.09134100000028</v>
      </c>
      <c r="Q31" s="32">
        <f>SUM(Q11:Q30)</f>
        <v>244.76354999999998</v>
      </c>
      <c r="R31" s="32">
        <f>SUM(R11:R30)</f>
        <v>244.76354999999998</v>
      </c>
      <c r="S31" s="32">
        <f>SUM(S14:S30)</f>
        <v>0</v>
      </c>
      <c r="T31" s="32">
        <f>SUM(T11:T30)</f>
        <v>6221.889441000003</v>
      </c>
      <c r="U31" s="32">
        <f>SUM(U11:U30)</f>
        <v>42730.820559000007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6221.889441000003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164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  <mergeCell ref="U8:U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Z35"/>
  <sheetViews>
    <sheetView topLeftCell="A2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165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62">
        <f t="shared" si="1"/>
        <v>225</v>
      </c>
      <c r="P12" s="62">
        <f t="shared" si="2"/>
        <v>38.475000000000001</v>
      </c>
      <c r="Q12" s="62">
        <f t="shared" si="3"/>
        <v>11.25</v>
      </c>
      <c r="R12" s="62">
        <f t="shared" si="4"/>
        <v>11.25</v>
      </c>
      <c r="S12" s="43">
        <v>0</v>
      </c>
      <c r="T12" s="43">
        <f t="shared" si="5"/>
        <v>285.97500000000002</v>
      </c>
      <c r="U12" s="43">
        <f t="shared" si="6"/>
        <v>1964.0250000000001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62">
        <f t="shared" si="1"/>
        <v>225</v>
      </c>
      <c r="P13" s="62">
        <f t="shared" si="2"/>
        <v>38.475000000000001</v>
      </c>
      <c r="Q13" s="62">
        <f t="shared" si="3"/>
        <v>11.25</v>
      </c>
      <c r="R13" s="62">
        <f t="shared" si="4"/>
        <v>11.25</v>
      </c>
      <c r="S13" s="43">
        <v>0</v>
      </c>
      <c r="T13" s="43">
        <f t="shared" si="5"/>
        <v>285.97500000000002</v>
      </c>
      <c r="U13" s="43">
        <f t="shared" si="6"/>
        <v>1964.0250000000001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62">
        <f t="shared" si="1"/>
        <v>366.73600000000005</v>
      </c>
      <c r="P14" s="62">
        <f t="shared" si="2"/>
        <v>62.711856000000004</v>
      </c>
      <c r="Q14" s="62">
        <f t="shared" si="3"/>
        <v>18.3368</v>
      </c>
      <c r="R14" s="62">
        <f t="shared" si="4"/>
        <v>18.3368</v>
      </c>
      <c r="S14" s="43">
        <v>0</v>
      </c>
      <c r="T14" s="43">
        <f t="shared" si="5"/>
        <v>466.12145600000002</v>
      </c>
      <c r="U14" s="43">
        <f t="shared" si="6"/>
        <v>3201.2385440000003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62">
        <f t="shared" si="1"/>
        <v>364.92900000000003</v>
      </c>
      <c r="P15" s="62">
        <f t="shared" si="2"/>
        <v>62.402858999999999</v>
      </c>
      <c r="Q15" s="62">
        <f t="shared" si="3"/>
        <v>18.246449999999999</v>
      </c>
      <c r="R15" s="62">
        <f t="shared" si="4"/>
        <v>18.246449999999999</v>
      </c>
      <c r="S15" s="43">
        <v>0</v>
      </c>
      <c r="T15" s="43">
        <f t="shared" si="5"/>
        <v>463.82475899999997</v>
      </c>
      <c r="U15" s="43">
        <f t="shared" si="6"/>
        <v>3185.4652409999999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62">
        <f t="shared" si="1"/>
        <v>225</v>
      </c>
      <c r="P16" s="62">
        <f t="shared" si="2"/>
        <v>38.475000000000001</v>
      </c>
      <c r="Q16" s="62">
        <f t="shared" si="3"/>
        <v>11.25</v>
      </c>
      <c r="R16" s="62">
        <f t="shared" si="4"/>
        <v>11.25</v>
      </c>
      <c r="S16" s="43">
        <v>0</v>
      </c>
      <c r="T16" s="43">
        <f t="shared" si="5"/>
        <v>285.97500000000002</v>
      </c>
      <c r="U16" s="43">
        <f t="shared" si="6"/>
        <v>1964.0250000000001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62">
        <f t="shared" si="1"/>
        <v>246.47900000000001</v>
      </c>
      <c r="P17" s="62">
        <f t="shared" si="2"/>
        <v>42.147908999999999</v>
      </c>
      <c r="Q17" s="62">
        <f t="shared" si="3"/>
        <v>12.32395</v>
      </c>
      <c r="R17" s="62">
        <f t="shared" si="4"/>
        <v>12.32395</v>
      </c>
      <c r="S17" s="43">
        <v>0</v>
      </c>
      <c r="T17" s="43">
        <f t="shared" si="5"/>
        <v>313.27480900000006</v>
      </c>
      <c r="U17" s="43">
        <f t="shared" si="6"/>
        <v>2151.515191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62">
        <f t="shared" si="1"/>
        <v>241.84400000000002</v>
      </c>
      <c r="P20" s="62">
        <f t="shared" si="2"/>
        <v>41.355324000000003</v>
      </c>
      <c r="Q20" s="62">
        <f t="shared" si="3"/>
        <v>12.0922</v>
      </c>
      <c r="R20" s="62">
        <f t="shared" si="4"/>
        <v>12.0922</v>
      </c>
      <c r="S20" s="43">
        <v>0</v>
      </c>
      <c r="T20" s="43">
        <f t="shared" si="5"/>
        <v>307.38372400000003</v>
      </c>
      <c r="U20" s="43">
        <f t="shared" si="6"/>
        <v>2111.0562760000003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62">
        <f t="shared" si="1"/>
        <v>225</v>
      </c>
      <c r="P26" s="62">
        <f t="shared" si="2"/>
        <v>38.475000000000001</v>
      </c>
      <c r="Q26" s="62">
        <f t="shared" si="3"/>
        <v>11.25</v>
      </c>
      <c r="R26" s="62">
        <f t="shared" si="4"/>
        <v>11.25</v>
      </c>
      <c r="S26" s="43">
        <v>0</v>
      </c>
      <c r="T26" s="43">
        <f t="shared" si="5"/>
        <v>285.97500000000002</v>
      </c>
      <c r="U26" s="43">
        <f t="shared" si="6"/>
        <v>1964.0250000000001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62">
        <f t="shared" si="1"/>
        <v>225</v>
      </c>
      <c r="P27" s="62">
        <f t="shared" si="2"/>
        <v>38.475000000000001</v>
      </c>
      <c r="Q27" s="62">
        <f t="shared" si="3"/>
        <v>11.25</v>
      </c>
      <c r="R27" s="62">
        <f t="shared" si="4"/>
        <v>11.25</v>
      </c>
      <c r="S27" s="43">
        <v>0</v>
      </c>
      <c r="T27" s="43">
        <f t="shared" si="5"/>
        <v>285.97500000000002</v>
      </c>
      <c r="U27" s="43">
        <f t="shared" si="6"/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7">SUM(M14:M28)</f>
        <v>337.5</v>
      </c>
      <c r="N31" s="32">
        <f>SUM(N11:N30)</f>
        <v>48952.71</v>
      </c>
      <c r="O31" s="32">
        <f>SUM(O11:O30)</f>
        <v>4895.2710000000006</v>
      </c>
      <c r="P31" s="32">
        <f>SUM(P11:P30)</f>
        <v>837.09134100000028</v>
      </c>
      <c r="Q31" s="32">
        <f>SUM(Q11:Q30)</f>
        <v>244.76354999999998</v>
      </c>
      <c r="R31" s="32">
        <f>SUM(R11:R30)</f>
        <v>244.76354999999998</v>
      </c>
      <c r="S31" s="32">
        <f>SUM(S14:S30)</f>
        <v>0</v>
      </c>
      <c r="T31" s="32">
        <f>SUM(T11:T30)</f>
        <v>6221.889441000003</v>
      </c>
      <c r="U31" s="32">
        <f>SUM(U11:U30)</f>
        <v>42730.820559000007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6221.889441000003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166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  <mergeCell ref="U8:U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Z35"/>
  <sheetViews>
    <sheetView topLeftCell="A20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167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62">
        <f t="shared" si="1"/>
        <v>225</v>
      </c>
      <c r="P12" s="62">
        <f t="shared" si="2"/>
        <v>38.475000000000001</v>
      </c>
      <c r="Q12" s="62">
        <f t="shared" si="3"/>
        <v>11.25</v>
      </c>
      <c r="R12" s="62">
        <f t="shared" si="4"/>
        <v>11.25</v>
      </c>
      <c r="S12" s="43">
        <v>0</v>
      </c>
      <c r="T12" s="43">
        <f t="shared" si="5"/>
        <v>285.97500000000002</v>
      </c>
      <c r="U12" s="43">
        <f t="shared" si="6"/>
        <v>1964.0250000000001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62">
        <f t="shared" si="1"/>
        <v>225</v>
      </c>
      <c r="P13" s="62">
        <f t="shared" si="2"/>
        <v>38.475000000000001</v>
      </c>
      <c r="Q13" s="62">
        <f t="shared" si="3"/>
        <v>11.25</v>
      </c>
      <c r="R13" s="62">
        <f t="shared" si="4"/>
        <v>11.25</v>
      </c>
      <c r="S13" s="43">
        <v>0</v>
      </c>
      <c r="T13" s="43">
        <f t="shared" si="5"/>
        <v>285.97500000000002</v>
      </c>
      <c r="U13" s="43">
        <f t="shared" si="6"/>
        <v>1964.0250000000001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62">
        <f t="shared" si="1"/>
        <v>366.73600000000005</v>
      </c>
      <c r="P14" s="62">
        <f t="shared" si="2"/>
        <v>62.711856000000004</v>
      </c>
      <c r="Q14" s="62">
        <f t="shared" si="3"/>
        <v>18.3368</v>
      </c>
      <c r="R14" s="62">
        <f t="shared" si="4"/>
        <v>18.3368</v>
      </c>
      <c r="S14" s="43">
        <v>0</v>
      </c>
      <c r="T14" s="43">
        <f t="shared" si="5"/>
        <v>466.12145600000002</v>
      </c>
      <c r="U14" s="43">
        <f t="shared" si="6"/>
        <v>3201.2385440000003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62">
        <f t="shared" si="1"/>
        <v>364.92900000000003</v>
      </c>
      <c r="P15" s="62">
        <f t="shared" si="2"/>
        <v>62.402858999999999</v>
      </c>
      <c r="Q15" s="62">
        <f t="shared" si="3"/>
        <v>18.246449999999999</v>
      </c>
      <c r="R15" s="62">
        <f t="shared" si="4"/>
        <v>18.246449999999999</v>
      </c>
      <c r="S15" s="43">
        <v>0</v>
      </c>
      <c r="T15" s="43">
        <f t="shared" si="5"/>
        <v>463.82475899999997</v>
      </c>
      <c r="U15" s="43">
        <f t="shared" si="6"/>
        <v>3185.4652409999999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62">
        <f t="shared" si="1"/>
        <v>225</v>
      </c>
      <c r="P16" s="62">
        <f t="shared" si="2"/>
        <v>38.475000000000001</v>
      </c>
      <c r="Q16" s="62">
        <f t="shared" si="3"/>
        <v>11.25</v>
      </c>
      <c r="R16" s="62">
        <f t="shared" si="4"/>
        <v>11.25</v>
      </c>
      <c r="S16" s="43">
        <v>0</v>
      </c>
      <c r="T16" s="43">
        <f t="shared" si="5"/>
        <v>285.97500000000002</v>
      </c>
      <c r="U16" s="43">
        <f t="shared" si="6"/>
        <v>1964.0250000000001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62">
        <f t="shared" si="1"/>
        <v>246.47900000000001</v>
      </c>
      <c r="P17" s="62">
        <f t="shared" si="2"/>
        <v>42.147908999999999</v>
      </c>
      <c r="Q17" s="62">
        <f t="shared" si="3"/>
        <v>12.32395</v>
      </c>
      <c r="R17" s="62">
        <f t="shared" si="4"/>
        <v>12.32395</v>
      </c>
      <c r="S17" s="43">
        <v>0</v>
      </c>
      <c r="T17" s="43">
        <f t="shared" si="5"/>
        <v>313.27480900000006</v>
      </c>
      <c r="U17" s="43">
        <f t="shared" si="6"/>
        <v>2151.515191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62">
        <f t="shared" si="1"/>
        <v>241.84400000000002</v>
      </c>
      <c r="P20" s="62">
        <f t="shared" si="2"/>
        <v>41.355324000000003</v>
      </c>
      <c r="Q20" s="62">
        <f t="shared" si="3"/>
        <v>12.0922</v>
      </c>
      <c r="R20" s="62">
        <f t="shared" si="4"/>
        <v>12.0922</v>
      </c>
      <c r="S20" s="43">
        <v>0</v>
      </c>
      <c r="T20" s="43">
        <f t="shared" si="5"/>
        <v>307.38372400000003</v>
      </c>
      <c r="U20" s="43">
        <f t="shared" si="6"/>
        <v>2111.0562760000003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62">
        <f t="shared" si="1"/>
        <v>225</v>
      </c>
      <c r="P26" s="62">
        <f t="shared" si="2"/>
        <v>38.475000000000001</v>
      </c>
      <c r="Q26" s="62">
        <f t="shared" si="3"/>
        <v>11.25</v>
      </c>
      <c r="R26" s="62">
        <f t="shared" si="4"/>
        <v>11.25</v>
      </c>
      <c r="S26" s="43">
        <v>0</v>
      </c>
      <c r="T26" s="43">
        <f t="shared" si="5"/>
        <v>285.97500000000002</v>
      </c>
      <c r="U26" s="43">
        <f t="shared" si="6"/>
        <v>1964.0250000000001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62">
        <f t="shared" si="1"/>
        <v>225</v>
      </c>
      <c r="P27" s="62">
        <f t="shared" si="2"/>
        <v>38.475000000000001</v>
      </c>
      <c r="Q27" s="62">
        <f t="shared" si="3"/>
        <v>11.25</v>
      </c>
      <c r="R27" s="62">
        <f t="shared" si="4"/>
        <v>11.25</v>
      </c>
      <c r="S27" s="43">
        <v>0</v>
      </c>
      <c r="T27" s="43">
        <f t="shared" si="5"/>
        <v>285.97500000000002</v>
      </c>
      <c r="U27" s="43">
        <f t="shared" si="6"/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7">SUM(M14:M28)</f>
        <v>337.5</v>
      </c>
      <c r="N31" s="32">
        <f>SUM(N11:N30)</f>
        <v>48952.71</v>
      </c>
      <c r="O31" s="32">
        <f>SUM(O11:O30)</f>
        <v>4895.2710000000006</v>
      </c>
      <c r="P31" s="32">
        <f>SUM(P11:P30)</f>
        <v>837.09134100000028</v>
      </c>
      <c r="Q31" s="32">
        <f>SUM(Q11:Q30)</f>
        <v>244.76354999999998</v>
      </c>
      <c r="R31" s="32">
        <f>SUM(R11:R30)</f>
        <v>244.76354999999998</v>
      </c>
      <c r="S31" s="32">
        <f>SUM(S14:S30)</f>
        <v>0</v>
      </c>
      <c r="T31" s="32">
        <f>SUM(T11:T30)</f>
        <v>6221.889441000003</v>
      </c>
      <c r="U31" s="32">
        <f>SUM(U11:U30)</f>
        <v>42730.820559000007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6221.889441000003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168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Z35"/>
  <sheetViews>
    <sheetView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169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62">
        <f t="shared" si="1"/>
        <v>225</v>
      </c>
      <c r="P12" s="62">
        <f t="shared" si="2"/>
        <v>38.475000000000001</v>
      </c>
      <c r="Q12" s="62">
        <f t="shared" si="3"/>
        <v>11.25</v>
      </c>
      <c r="R12" s="62">
        <f t="shared" si="4"/>
        <v>11.25</v>
      </c>
      <c r="S12" s="43">
        <v>0</v>
      </c>
      <c r="T12" s="43">
        <f t="shared" si="5"/>
        <v>285.97500000000002</v>
      </c>
      <c r="U12" s="43">
        <f t="shared" si="6"/>
        <v>1964.0250000000001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62">
        <f t="shared" si="1"/>
        <v>225</v>
      </c>
      <c r="P13" s="62">
        <f t="shared" si="2"/>
        <v>38.475000000000001</v>
      </c>
      <c r="Q13" s="62">
        <f t="shared" si="3"/>
        <v>11.25</v>
      </c>
      <c r="R13" s="62">
        <f t="shared" si="4"/>
        <v>11.25</v>
      </c>
      <c r="S13" s="43">
        <v>0</v>
      </c>
      <c r="T13" s="43">
        <f t="shared" si="5"/>
        <v>285.97500000000002</v>
      </c>
      <c r="U13" s="43">
        <f t="shared" si="6"/>
        <v>1964.0250000000001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62">
        <f t="shared" si="1"/>
        <v>366.73600000000005</v>
      </c>
      <c r="P14" s="62">
        <f t="shared" si="2"/>
        <v>62.711856000000004</v>
      </c>
      <c r="Q14" s="62">
        <f t="shared" si="3"/>
        <v>18.3368</v>
      </c>
      <c r="R14" s="62">
        <f t="shared" si="4"/>
        <v>18.3368</v>
      </c>
      <c r="S14" s="43">
        <v>0</v>
      </c>
      <c r="T14" s="43">
        <f t="shared" si="5"/>
        <v>466.12145600000002</v>
      </c>
      <c r="U14" s="43">
        <f t="shared" si="6"/>
        <v>3201.2385440000003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62">
        <f t="shared" si="1"/>
        <v>364.92900000000003</v>
      </c>
      <c r="P15" s="62">
        <f t="shared" si="2"/>
        <v>62.402858999999999</v>
      </c>
      <c r="Q15" s="62">
        <f t="shared" si="3"/>
        <v>18.246449999999999</v>
      </c>
      <c r="R15" s="62">
        <f t="shared" si="4"/>
        <v>18.246449999999999</v>
      </c>
      <c r="S15" s="43">
        <v>0</v>
      </c>
      <c r="T15" s="43">
        <f t="shared" si="5"/>
        <v>463.82475899999997</v>
      </c>
      <c r="U15" s="43">
        <f t="shared" si="6"/>
        <v>3185.4652409999999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62">
        <f t="shared" si="1"/>
        <v>225</v>
      </c>
      <c r="P16" s="62">
        <f t="shared" si="2"/>
        <v>38.475000000000001</v>
      </c>
      <c r="Q16" s="62">
        <f t="shared" si="3"/>
        <v>11.25</v>
      </c>
      <c r="R16" s="62">
        <f t="shared" si="4"/>
        <v>11.25</v>
      </c>
      <c r="S16" s="43">
        <v>0</v>
      </c>
      <c r="T16" s="43">
        <f t="shared" si="5"/>
        <v>285.97500000000002</v>
      </c>
      <c r="U16" s="43">
        <f t="shared" si="6"/>
        <v>1964.0250000000001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62">
        <f t="shared" si="1"/>
        <v>246.47900000000001</v>
      </c>
      <c r="P17" s="62">
        <f t="shared" si="2"/>
        <v>42.147908999999999</v>
      </c>
      <c r="Q17" s="62">
        <f t="shared" si="3"/>
        <v>12.32395</v>
      </c>
      <c r="R17" s="62">
        <f t="shared" si="4"/>
        <v>12.32395</v>
      </c>
      <c r="S17" s="43">
        <v>0</v>
      </c>
      <c r="T17" s="43">
        <f t="shared" si="5"/>
        <v>313.27480900000006</v>
      </c>
      <c r="U17" s="43">
        <f t="shared" si="6"/>
        <v>2151.515191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62">
        <f t="shared" si="1"/>
        <v>241.84400000000002</v>
      </c>
      <c r="P20" s="62">
        <f t="shared" si="2"/>
        <v>41.355324000000003</v>
      </c>
      <c r="Q20" s="62">
        <f t="shared" si="3"/>
        <v>12.0922</v>
      </c>
      <c r="R20" s="62">
        <f t="shared" si="4"/>
        <v>12.0922</v>
      </c>
      <c r="S20" s="43">
        <v>0</v>
      </c>
      <c r="T20" s="43">
        <f t="shared" si="5"/>
        <v>307.38372400000003</v>
      </c>
      <c r="U20" s="43">
        <f t="shared" si="6"/>
        <v>2111.0562760000003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62">
        <f t="shared" si="1"/>
        <v>225</v>
      </c>
      <c r="P26" s="62">
        <f t="shared" si="2"/>
        <v>38.475000000000001</v>
      </c>
      <c r="Q26" s="62">
        <f t="shared" si="3"/>
        <v>11.25</v>
      </c>
      <c r="R26" s="62">
        <f t="shared" si="4"/>
        <v>11.25</v>
      </c>
      <c r="S26" s="43">
        <v>0</v>
      </c>
      <c r="T26" s="43">
        <f t="shared" si="5"/>
        <v>285.97500000000002</v>
      </c>
      <c r="U26" s="43">
        <f t="shared" si="6"/>
        <v>1964.0250000000001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62">
        <f t="shared" si="1"/>
        <v>225</v>
      </c>
      <c r="P27" s="62">
        <f t="shared" si="2"/>
        <v>38.475000000000001</v>
      </c>
      <c r="Q27" s="62">
        <f t="shared" si="3"/>
        <v>11.25</v>
      </c>
      <c r="R27" s="62">
        <f t="shared" si="4"/>
        <v>11.25</v>
      </c>
      <c r="S27" s="43">
        <v>0</v>
      </c>
      <c r="T27" s="43">
        <f t="shared" si="5"/>
        <v>285.97500000000002</v>
      </c>
      <c r="U27" s="43">
        <f t="shared" si="6"/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7">SUM(M14:M28)</f>
        <v>337.5</v>
      </c>
      <c r="N31" s="32">
        <f>SUM(N11:N30)</f>
        <v>48952.71</v>
      </c>
      <c r="O31" s="32">
        <f>SUM(O11:O30)</f>
        <v>4895.2710000000006</v>
      </c>
      <c r="P31" s="32">
        <f>SUM(P11:P30)</f>
        <v>837.09134100000028</v>
      </c>
      <c r="Q31" s="32">
        <f>SUM(Q11:Q30)</f>
        <v>244.76354999999998</v>
      </c>
      <c r="R31" s="32">
        <f>SUM(R11:R30)</f>
        <v>244.76354999999998</v>
      </c>
      <c r="S31" s="32">
        <f>SUM(S14:S30)</f>
        <v>0</v>
      </c>
      <c r="T31" s="32">
        <f>SUM(T11:T30)</f>
        <v>6221.889441000003</v>
      </c>
      <c r="U31" s="32">
        <f>SUM(U11:U30)</f>
        <v>42730.820559000007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6221.889441000003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170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Z35"/>
  <sheetViews>
    <sheetView topLeftCell="A8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171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</row>
    <row r="12" spans="1:24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62">
        <f t="shared" si="1"/>
        <v>225</v>
      </c>
      <c r="P12" s="62">
        <f t="shared" si="2"/>
        <v>38.475000000000001</v>
      </c>
      <c r="Q12" s="62">
        <f t="shared" si="3"/>
        <v>11.25</v>
      </c>
      <c r="R12" s="62">
        <f t="shared" si="4"/>
        <v>11.25</v>
      </c>
      <c r="S12" s="43">
        <v>0</v>
      </c>
      <c r="T12" s="43">
        <f t="shared" si="5"/>
        <v>285.97500000000002</v>
      </c>
      <c r="U12" s="43">
        <f t="shared" si="6"/>
        <v>1964.0250000000001</v>
      </c>
      <c r="V12" s="55"/>
    </row>
    <row r="13" spans="1:24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62">
        <f t="shared" si="1"/>
        <v>225</v>
      </c>
      <c r="P13" s="62">
        <f t="shared" si="2"/>
        <v>38.475000000000001</v>
      </c>
      <c r="Q13" s="62">
        <f t="shared" si="3"/>
        <v>11.25</v>
      </c>
      <c r="R13" s="62">
        <f t="shared" si="4"/>
        <v>11.25</v>
      </c>
      <c r="S13" s="43">
        <v>0</v>
      </c>
      <c r="T13" s="43">
        <f t="shared" si="5"/>
        <v>285.97500000000002</v>
      </c>
      <c r="U13" s="43">
        <f t="shared" si="6"/>
        <v>1964.0250000000001</v>
      </c>
      <c r="V13" s="55"/>
    </row>
    <row r="14" spans="1:24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62">
        <f t="shared" si="1"/>
        <v>366.73600000000005</v>
      </c>
      <c r="P14" s="62">
        <f t="shared" si="2"/>
        <v>62.711856000000004</v>
      </c>
      <c r="Q14" s="62">
        <f t="shared" si="3"/>
        <v>18.3368</v>
      </c>
      <c r="R14" s="62">
        <f t="shared" si="4"/>
        <v>18.3368</v>
      </c>
      <c r="S14" s="43">
        <v>0</v>
      </c>
      <c r="T14" s="43">
        <f t="shared" si="5"/>
        <v>466.12145600000002</v>
      </c>
      <c r="U14" s="43">
        <f t="shared" si="6"/>
        <v>3201.2385440000003</v>
      </c>
      <c r="V14" s="44"/>
      <c r="X14" s="45"/>
    </row>
    <row r="15" spans="1:24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62">
        <f t="shared" si="1"/>
        <v>364.92900000000003</v>
      </c>
      <c r="P15" s="62">
        <f t="shared" si="2"/>
        <v>62.402858999999999</v>
      </c>
      <c r="Q15" s="62">
        <f t="shared" si="3"/>
        <v>18.246449999999999</v>
      </c>
      <c r="R15" s="62">
        <f t="shared" si="4"/>
        <v>18.246449999999999</v>
      </c>
      <c r="S15" s="43">
        <v>0</v>
      </c>
      <c r="T15" s="43">
        <f t="shared" si="5"/>
        <v>463.82475899999997</v>
      </c>
      <c r="U15" s="43">
        <f t="shared" si="6"/>
        <v>3185.4652409999999</v>
      </c>
      <c r="V15" s="44"/>
      <c r="X15" s="45"/>
    </row>
    <row r="16" spans="1:24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62">
        <f t="shared" si="1"/>
        <v>225</v>
      </c>
      <c r="P16" s="62">
        <f t="shared" si="2"/>
        <v>38.475000000000001</v>
      </c>
      <c r="Q16" s="62">
        <f t="shared" si="3"/>
        <v>11.25</v>
      </c>
      <c r="R16" s="62">
        <f t="shared" si="4"/>
        <v>11.25</v>
      </c>
      <c r="S16" s="43">
        <v>0</v>
      </c>
      <c r="T16" s="43">
        <f t="shared" si="5"/>
        <v>285.97500000000002</v>
      </c>
      <c r="U16" s="43">
        <f t="shared" si="6"/>
        <v>1964.0250000000001</v>
      </c>
      <c r="V16" s="44"/>
      <c r="X16" s="45"/>
    </row>
    <row r="17" spans="1:24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62">
        <f t="shared" si="1"/>
        <v>246.47900000000001</v>
      </c>
      <c r="P17" s="62">
        <f t="shared" si="2"/>
        <v>42.147908999999999</v>
      </c>
      <c r="Q17" s="62">
        <f t="shared" si="3"/>
        <v>12.32395</v>
      </c>
      <c r="R17" s="62">
        <f t="shared" si="4"/>
        <v>12.32395</v>
      </c>
      <c r="S17" s="43">
        <v>0</v>
      </c>
      <c r="T17" s="43">
        <f t="shared" si="5"/>
        <v>313.27480900000006</v>
      </c>
      <c r="U17" s="43">
        <f t="shared" si="6"/>
        <v>2151.515191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62">
        <f t="shared" si="1"/>
        <v>241.84400000000002</v>
      </c>
      <c r="P20" s="62">
        <f t="shared" si="2"/>
        <v>41.355324000000003</v>
      </c>
      <c r="Q20" s="62">
        <f t="shared" si="3"/>
        <v>12.0922</v>
      </c>
      <c r="R20" s="62">
        <f t="shared" si="4"/>
        <v>12.0922</v>
      </c>
      <c r="S20" s="43">
        <v>0</v>
      </c>
      <c r="T20" s="43">
        <f t="shared" si="5"/>
        <v>307.38372400000003</v>
      </c>
      <c r="U20" s="43">
        <f t="shared" si="6"/>
        <v>2111.0562760000003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62">
        <f t="shared" si="1"/>
        <v>225</v>
      </c>
      <c r="P26" s="62">
        <f t="shared" si="2"/>
        <v>38.475000000000001</v>
      </c>
      <c r="Q26" s="62">
        <f t="shared" si="3"/>
        <v>11.25</v>
      </c>
      <c r="R26" s="62">
        <f t="shared" si="4"/>
        <v>11.25</v>
      </c>
      <c r="S26" s="43">
        <v>0</v>
      </c>
      <c r="T26" s="43">
        <f t="shared" si="5"/>
        <v>285.97500000000002</v>
      </c>
      <c r="U26" s="43">
        <f t="shared" si="6"/>
        <v>1964.0250000000001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62">
        <f t="shared" si="1"/>
        <v>225</v>
      </c>
      <c r="P27" s="62">
        <f t="shared" si="2"/>
        <v>38.475000000000001</v>
      </c>
      <c r="Q27" s="62">
        <f t="shared" si="3"/>
        <v>11.25</v>
      </c>
      <c r="R27" s="62">
        <f t="shared" si="4"/>
        <v>11.25</v>
      </c>
      <c r="S27" s="43">
        <v>0</v>
      </c>
      <c r="T27" s="43">
        <f t="shared" si="5"/>
        <v>285.97500000000002</v>
      </c>
      <c r="U27" s="43">
        <f t="shared" si="6"/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X29" s="45"/>
    </row>
    <row r="30" spans="1:24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7">SUM(M14:M28)</f>
        <v>337.5</v>
      </c>
      <c r="N31" s="32">
        <f>SUM(N11:N30)</f>
        <v>48952.71</v>
      </c>
      <c r="O31" s="32">
        <f>SUM(O11:O30)</f>
        <v>4895.2710000000006</v>
      </c>
      <c r="P31" s="32">
        <f>SUM(P11:P30)</f>
        <v>837.09134100000028</v>
      </c>
      <c r="Q31" s="32">
        <f>SUM(Q11:Q30)</f>
        <v>244.76354999999998</v>
      </c>
      <c r="R31" s="32">
        <f>SUM(R11:R30)</f>
        <v>244.76354999999998</v>
      </c>
      <c r="S31" s="32">
        <f>SUM(S14:S30)</f>
        <v>0</v>
      </c>
      <c r="T31" s="32">
        <f>SUM(T11:T30)</f>
        <v>6221.889441000003</v>
      </c>
      <c r="U31" s="32">
        <f>SUM(U11:U30)</f>
        <v>42730.820559000007</v>
      </c>
      <c r="V31" s="19"/>
    </row>
    <row r="32" spans="1:24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6221.889441000003</v>
      </c>
      <c r="U32" s="23"/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172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35"/>
  <sheetViews>
    <sheetView workbookViewId="0">
      <selection activeCell="A4" sqref="A4:R4"/>
    </sheetView>
  </sheetViews>
  <sheetFormatPr baseColWidth="10" defaultRowHeight="15"/>
  <cols>
    <col min="1" max="1" width="4.28515625" customWidth="1"/>
    <col min="2" max="2" width="10.85546875" customWidth="1"/>
    <col min="3" max="3" width="38.85546875" customWidth="1"/>
    <col min="4" max="4" width="11.42578125" hidden="1" customWidth="1"/>
    <col min="5" max="5" width="4" style="9" hidden="1" customWidth="1"/>
    <col min="6" max="6" width="19.85546875" customWidth="1"/>
    <col min="7" max="7" width="9.85546875" customWidth="1"/>
    <col min="8" max="8" width="8.28515625" hidden="1" customWidth="1"/>
    <col min="9" max="9" width="0.140625" hidden="1" customWidth="1"/>
    <col min="10" max="10" width="5" hidden="1" customWidth="1"/>
    <col min="11" max="11" width="11.140625" customWidth="1"/>
    <col min="12" max="12" width="9.28515625" hidden="1" customWidth="1"/>
    <col min="13" max="13" width="7" customWidth="1"/>
    <col min="14" max="14" width="10.5703125" customWidth="1"/>
    <col min="15" max="16" width="11.7109375" customWidth="1"/>
    <col min="17" max="17" width="12.42578125" customWidth="1"/>
    <col min="18" max="18" width="19.5703125" customWidth="1"/>
    <col min="19" max="20" width="11.42578125" style="18" customWidth="1"/>
  </cols>
  <sheetData>
    <row r="1" spans="1:20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51"/>
      <c r="P1" s="51"/>
      <c r="Q1" s="1"/>
      <c r="R1" s="51" t="s">
        <v>33</v>
      </c>
      <c r="S1" s="51"/>
    </row>
    <row r="2" spans="1:20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51"/>
      <c r="P2" s="51"/>
      <c r="Q2" s="51"/>
      <c r="R2" s="51"/>
      <c r="S2" s="17"/>
    </row>
    <row r="3" spans="1:20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2"/>
      <c r="P3" s="2"/>
      <c r="Q3" s="1"/>
      <c r="R3" s="1"/>
      <c r="S3" s="17"/>
    </row>
    <row r="4" spans="1:20" s="26" customFormat="1" ht="12" customHeight="1">
      <c r="A4" s="237" t="s">
        <v>173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7"/>
      <c r="T4" s="27"/>
    </row>
    <row r="5" spans="1:20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7"/>
      <c r="T5" s="27"/>
    </row>
    <row r="6" spans="1:20" s="26" customFormat="1" ht="19.5" customHeight="1">
      <c r="A6" s="237" t="s">
        <v>174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7"/>
      <c r="T6" s="27"/>
    </row>
    <row r="7" spans="1:20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S7" s="7">
        <v>42399</v>
      </c>
      <c r="T7" s="8">
        <v>1656</v>
      </c>
    </row>
    <row r="8" spans="1:20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76</v>
      </c>
      <c r="L8" s="47"/>
      <c r="M8" s="234" t="s">
        <v>11</v>
      </c>
      <c r="N8" s="234" t="s">
        <v>53</v>
      </c>
      <c r="O8" s="234" t="s">
        <v>54</v>
      </c>
      <c r="P8" s="234" t="s">
        <v>55</v>
      </c>
      <c r="Q8" s="234" t="s">
        <v>56</v>
      </c>
      <c r="R8" s="234" t="s">
        <v>14</v>
      </c>
    </row>
    <row r="9" spans="1:20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35"/>
      <c r="P9" s="235"/>
      <c r="Q9" s="235"/>
      <c r="R9" s="235"/>
    </row>
    <row r="10" spans="1:20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236"/>
      <c r="P10" s="236"/>
      <c r="Q10" s="236"/>
      <c r="R10" s="236"/>
    </row>
    <row r="11" spans="1:20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114">
        <v>11</v>
      </c>
      <c r="P11" s="114"/>
      <c r="Q11" s="43">
        <f>+(N11/12*11)</f>
        <v>2062.5</v>
      </c>
      <c r="R11" s="55"/>
    </row>
    <row r="12" spans="1:20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30</v>
      </c>
      <c r="K12" s="61">
        <v>2250</v>
      </c>
      <c r="L12" s="60"/>
      <c r="M12" s="43">
        <v>0</v>
      </c>
      <c r="N12" s="62">
        <f t="shared" si="0"/>
        <v>2250</v>
      </c>
      <c r="O12" s="114">
        <v>10</v>
      </c>
      <c r="P12" s="114">
        <v>14</v>
      </c>
      <c r="Q12" s="43">
        <f>+(N12/12*10)+(N12/12/30*14)</f>
        <v>1962.5</v>
      </c>
      <c r="R12" s="55"/>
    </row>
    <row r="13" spans="1:20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30</v>
      </c>
      <c r="K13" s="62">
        <v>2250</v>
      </c>
      <c r="L13" s="60"/>
      <c r="M13" s="43">
        <v>0</v>
      </c>
      <c r="N13" s="62">
        <f t="shared" si="0"/>
        <v>2250</v>
      </c>
      <c r="O13" s="114">
        <v>10</v>
      </c>
      <c r="P13" s="114">
        <v>14</v>
      </c>
      <c r="Q13" s="43">
        <f t="shared" ref="Q13:Q16" si="1">+(N13/12*10)+(N13/12/30*14)</f>
        <v>1962.5</v>
      </c>
      <c r="R13" s="55"/>
    </row>
    <row r="14" spans="1:20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30</v>
      </c>
      <c r="K14" s="62">
        <v>3667.36</v>
      </c>
      <c r="L14" s="62"/>
      <c r="M14" s="43">
        <v>0</v>
      </c>
      <c r="N14" s="62">
        <f t="shared" si="0"/>
        <v>3667.36</v>
      </c>
      <c r="O14" s="114">
        <v>10</v>
      </c>
      <c r="P14" s="114">
        <v>14</v>
      </c>
      <c r="Q14" s="43">
        <f t="shared" si="1"/>
        <v>3198.7528888888887</v>
      </c>
      <c r="R14" s="44"/>
      <c r="T14" s="45"/>
    </row>
    <row r="15" spans="1:20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30</v>
      </c>
      <c r="K15" s="38">
        <v>3649.29</v>
      </c>
      <c r="L15" s="62"/>
      <c r="M15" s="43">
        <v>0</v>
      </c>
      <c r="N15" s="62">
        <f t="shared" si="0"/>
        <v>3649.29</v>
      </c>
      <c r="O15" s="114">
        <v>10</v>
      </c>
      <c r="P15" s="114">
        <v>14</v>
      </c>
      <c r="Q15" s="43">
        <f t="shared" si="1"/>
        <v>3182.9918333333335</v>
      </c>
      <c r="R15" s="44"/>
      <c r="T15" s="45"/>
    </row>
    <row r="16" spans="1:20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30</v>
      </c>
      <c r="K16" s="38">
        <v>2250</v>
      </c>
      <c r="L16" s="62"/>
      <c r="M16" s="43">
        <v>0</v>
      </c>
      <c r="N16" s="62">
        <f t="shared" si="0"/>
        <v>2250</v>
      </c>
      <c r="O16" s="114">
        <v>10</v>
      </c>
      <c r="P16" s="114">
        <v>14</v>
      </c>
      <c r="Q16" s="43">
        <f t="shared" si="1"/>
        <v>1962.5</v>
      </c>
      <c r="R16" s="44"/>
      <c r="T16" s="45"/>
    </row>
    <row r="17" spans="1:20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30</v>
      </c>
      <c r="K17" s="62">
        <v>2464.79</v>
      </c>
      <c r="L17" s="62"/>
      <c r="M17" s="43">
        <v>0</v>
      </c>
      <c r="N17" s="62">
        <f t="shared" si="0"/>
        <v>2464.79</v>
      </c>
      <c r="O17" s="114">
        <v>10</v>
      </c>
      <c r="P17" s="114">
        <v>29</v>
      </c>
      <c r="Q17" s="43">
        <f>+(N17/12*10)+(N17/12/30*29)</f>
        <v>2252.5441944444447</v>
      </c>
      <c r="R17" s="44"/>
      <c r="T17" s="45"/>
    </row>
    <row r="18" spans="1:20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114">
        <v>11</v>
      </c>
      <c r="P18" s="114"/>
      <c r="Q18" s="43">
        <v>2062.5</v>
      </c>
      <c r="R18" s="44"/>
      <c r="T18" s="45"/>
    </row>
    <row r="19" spans="1:20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114">
        <v>12</v>
      </c>
      <c r="P19" s="114"/>
      <c r="Q19" s="43">
        <v>2587.5</v>
      </c>
      <c r="R19" s="44"/>
      <c r="T19" s="108"/>
    </row>
    <row r="20" spans="1:20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30</v>
      </c>
      <c r="K20" s="38">
        <v>2418.44</v>
      </c>
      <c r="L20" s="62"/>
      <c r="M20" s="43">
        <v>0</v>
      </c>
      <c r="N20" s="62">
        <f t="shared" si="0"/>
        <v>2418.44</v>
      </c>
      <c r="O20" s="114">
        <v>10</v>
      </c>
      <c r="P20" s="114">
        <v>14</v>
      </c>
      <c r="Q20" s="43">
        <f t="shared" ref="Q20:Q21" si="2">+(N20/12*10)+(N20/12/30*14)</f>
        <v>2109.4171111111109</v>
      </c>
      <c r="R20" s="44"/>
      <c r="T20" s="45"/>
    </row>
    <row r="21" spans="1:20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114">
        <v>10</v>
      </c>
      <c r="P21" s="114">
        <v>14</v>
      </c>
      <c r="Q21" s="43">
        <f t="shared" si="2"/>
        <v>1962.5</v>
      </c>
      <c r="R21" s="44"/>
      <c r="T21" s="45"/>
    </row>
    <row r="22" spans="1:20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114">
        <v>11</v>
      </c>
      <c r="P22" s="114"/>
      <c r="Q22" s="43">
        <v>2163.29</v>
      </c>
      <c r="R22" s="44"/>
      <c r="T22" s="45"/>
    </row>
    <row r="23" spans="1:20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114">
        <v>11</v>
      </c>
      <c r="P23" s="114"/>
      <c r="Q23" s="43">
        <v>2062.5</v>
      </c>
      <c r="R23" s="44"/>
      <c r="T23" s="45"/>
    </row>
    <row r="24" spans="1:20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114">
        <v>10</v>
      </c>
      <c r="P24" s="114">
        <v>14</v>
      </c>
      <c r="Q24" s="43">
        <f t="shared" ref="Q24:Q28" si="3">+(N24/12*10)+(N24/12/30*14)</f>
        <v>1962.5</v>
      </c>
      <c r="R24" s="44"/>
      <c r="T24" s="45"/>
    </row>
    <row r="25" spans="1:20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114">
        <v>10</v>
      </c>
      <c r="P25" s="114">
        <v>14</v>
      </c>
      <c r="Q25" s="43">
        <f t="shared" si="3"/>
        <v>2041.5146111111112</v>
      </c>
      <c r="R25" s="44"/>
      <c r="T25" s="45"/>
    </row>
    <row r="26" spans="1:20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30</v>
      </c>
      <c r="K26" s="38">
        <v>2250</v>
      </c>
      <c r="L26" s="62"/>
      <c r="M26" s="43">
        <v>0</v>
      </c>
      <c r="N26" s="62">
        <f t="shared" si="0"/>
        <v>2250</v>
      </c>
      <c r="O26" s="114">
        <v>10</v>
      </c>
      <c r="P26" s="114">
        <v>14</v>
      </c>
      <c r="Q26" s="43">
        <f t="shared" si="3"/>
        <v>1962.5</v>
      </c>
      <c r="R26" s="44"/>
      <c r="T26" s="45"/>
    </row>
    <row r="27" spans="1:20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30</v>
      </c>
      <c r="K27" s="38">
        <v>2250</v>
      </c>
      <c r="L27" s="62"/>
      <c r="M27" s="43">
        <v>0</v>
      </c>
      <c r="N27" s="62">
        <f t="shared" si="0"/>
        <v>2250</v>
      </c>
      <c r="O27" s="114">
        <v>10</v>
      </c>
      <c r="P27" s="114">
        <v>14</v>
      </c>
      <c r="Q27" s="43">
        <f t="shared" si="3"/>
        <v>1962.5</v>
      </c>
      <c r="R27" s="44"/>
      <c r="T27" s="45"/>
    </row>
    <row r="28" spans="1:20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114">
        <v>10</v>
      </c>
      <c r="P28" s="114">
        <v>14</v>
      </c>
      <c r="Q28" s="43">
        <f t="shared" si="3"/>
        <v>2149.8446111111111</v>
      </c>
      <c r="R28" s="44"/>
      <c r="T28" s="45"/>
    </row>
    <row r="29" spans="1:20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114">
        <v>11</v>
      </c>
      <c r="P29" s="114"/>
      <c r="Q29" s="43">
        <v>2062.5</v>
      </c>
      <c r="R29" s="44"/>
      <c r="T29" s="45"/>
    </row>
    <row r="30" spans="1:20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114">
        <v>11</v>
      </c>
      <c r="P30" s="114"/>
      <c r="Q30" s="43">
        <v>2062.5</v>
      </c>
      <c r="R30" s="44"/>
      <c r="T30" s="45"/>
    </row>
    <row r="31" spans="1:20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48615.21</v>
      </c>
      <c r="L31" s="32"/>
      <c r="M31" s="32">
        <f t="shared" ref="M31" si="4">SUM(M14:M28)</f>
        <v>337.5</v>
      </c>
      <c r="N31" s="32">
        <f>SUM(N11:N30)</f>
        <v>48952.71</v>
      </c>
      <c r="O31" s="115"/>
      <c r="P31" s="115"/>
      <c r="Q31" s="32">
        <f>SUM(Q11:Q30)</f>
        <v>43735.855250000001</v>
      </c>
      <c r="R31" s="19"/>
    </row>
    <row r="32" spans="1:20" s="18" customFormat="1" ht="9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 s="23">
        <f>SUM(O31:O31)</f>
        <v>0</v>
      </c>
      <c r="P32" s="23"/>
      <c r="Q32" s="23"/>
    </row>
    <row r="33" spans="1:22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U33"/>
      <c r="V33"/>
    </row>
    <row r="34" spans="1:22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22" s="18" customFormat="1">
      <c r="A35"/>
      <c r="B35"/>
      <c r="C35"/>
      <c r="D35"/>
      <c r="E35" s="9"/>
      <c r="F35"/>
      <c r="G35"/>
      <c r="H35"/>
      <c r="I35"/>
      <c r="J35"/>
      <c r="K35" t="s">
        <v>175</v>
      </c>
      <c r="L35"/>
      <c r="M35"/>
      <c r="N35"/>
      <c r="O35"/>
      <c r="P35"/>
      <c r="Q35"/>
      <c r="R35"/>
    </row>
  </sheetData>
  <mergeCells count="17">
    <mergeCell ref="N8:N10"/>
    <mergeCell ref="O8:O10"/>
    <mergeCell ref="Q8:Q10"/>
    <mergeCell ref="A4:R4"/>
    <mergeCell ref="A5:R5"/>
    <mergeCell ref="A6:R6"/>
    <mergeCell ref="A8:A10"/>
    <mergeCell ref="B8:B10"/>
    <mergeCell ref="C8:C10"/>
    <mergeCell ref="D8:D10"/>
    <mergeCell ref="E8:E10"/>
    <mergeCell ref="F8:F10"/>
    <mergeCell ref="G8:G10"/>
    <mergeCell ref="R8:R10"/>
    <mergeCell ref="P8:P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Z35"/>
  <sheetViews>
    <sheetView workbookViewId="0">
      <selection activeCell="K13" sqref="K13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5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5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5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5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5" s="26" customFormat="1" ht="19.5" customHeight="1">
      <c r="A6" s="237" t="s">
        <v>176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5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5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5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5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5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44593</v>
      </c>
      <c r="H11" s="14">
        <v>6</v>
      </c>
      <c r="I11" s="45"/>
      <c r="J11" s="58">
        <v>30</v>
      </c>
      <c r="K11" s="61">
        <v>2250</v>
      </c>
      <c r="L11" s="60"/>
      <c r="M11" s="43">
        <v>0</v>
      </c>
      <c r="N11" s="62">
        <f t="shared" ref="N11:N30" si="0">K11+M11</f>
        <v>2250</v>
      </c>
      <c r="O11" s="62">
        <f t="shared" ref="O11:O30" si="1">+N11*0.1</f>
        <v>225</v>
      </c>
      <c r="P11" s="62">
        <f t="shared" ref="P11:P30" si="2">+N11*0.0171</f>
        <v>38.475000000000001</v>
      </c>
      <c r="Q11" s="62">
        <f t="shared" ref="Q11:Q30" si="3">+N11*0.005</f>
        <v>11.25</v>
      </c>
      <c r="R11" s="62">
        <f t="shared" ref="R11:R30" si="4">N11*0.5%</f>
        <v>11.25</v>
      </c>
      <c r="S11" s="43">
        <v>0</v>
      </c>
      <c r="T11" s="43">
        <f t="shared" ref="T11:T30" si="5">+O11+P11+Q11+R11+S11</f>
        <v>285.97500000000002</v>
      </c>
      <c r="U11" s="43">
        <f t="shared" ref="U11:U30" si="6">+N11-T11</f>
        <v>1964.0250000000001</v>
      </c>
      <c r="V11" s="55"/>
      <c r="W11" s="116"/>
      <c r="X11" s="116"/>
      <c r="Y11" s="117"/>
    </row>
    <row r="12" spans="1:25" ht="22.5" customHeight="1">
      <c r="A12" s="57">
        <v>2</v>
      </c>
      <c r="B12" s="41" t="s">
        <v>29</v>
      </c>
      <c r="C12" s="41" t="s">
        <v>60</v>
      </c>
      <c r="D12" s="42"/>
      <c r="E12" s="14"/>
      <c r="F12" s="41" t="s">
        <v>30</v>
      </c>
      <c r="G12" s="30">
        <v>44593</v>
      </c>
      <c r="H12" s="14">
        <v>5</v>
      </c>
      <c r="I12" s="45"/>
      <c r="J12" s="58">
        <v>14</v>
      </c>
      <c r="K12" s="61">
        <v>1050</v>
      </c>
      <c r="L12" s="60"/>
      <c r="M12" s="43">
        <v>0</v>
      </c>
      <c r="N12" s="62">
        <f t="shared" si="0"/>
        <v>1050</v>
      </c>
      <c r="O12" s="62">
        <f t="shared" si="1"/>
        <v>105</v>
      </c>
      <c r="P12" s="62">
        <f t="shared" si="2"/>
        <v>17.955000000000002</v>
      </c>
      <c r="Q12" s="62">
        <f t="shared" si="3"/>
        <v>5.25</v>
      </c>
      <c r="R12" s="62">
        <f t="shared" si="4"/>
        <v>5.25</v>
      </c>
      <c r="S12" s="43">
        <v>0</v>
      </c>
      <c r="T12" s="43">
        <f t="shared" si="5"/>
        <v>133.45499999999998</v>
      </c>
      <c r="U12" s="43">
        <f t="shared" si="6"/>
        <v>916.54500000000007</v>
      </c>
      <c r="V12" s="55"/>
      <c r="W12" s="116"/>
      <c r="X12" s="116">
        <v>1050</v>
      </c>
      <c r="Y12" s="117"/>
    </row>
    <row r="13" spans="1:25" ht="22.5" customHeight="1">
      <c r="A13" s="57">
        <v>3</v>
      </c>
      <c r="B13" s="41" t="s">
        <v>67</v>
      </c>
      <c r="C13" s="41" t="s">
        <v>68</v>
      </c>
      <c r="D13" s="42"/>
      <c r="E13" s="14"/>
      <c r="F13" s="41" t="s">
        <v>32</v>
      </c>
      <c r="G13" s="30">
        <v>44593</v>
      </c>
      <c r="H13" s="63">
        <v>5</v>
      </c>
      <c r="I13" s="64"/>
      <c r="J13" s="14">
        <v>14</v>
      </c>
      <c r="K13" s="62">
        <v>1050</v>
      </c>
      <c r="L13" s="60"/>
      <c r="M13" s="43">
        <v>0</v>
      </c>
      <c r="N13" s="62">
        <f t="shared" si="0"/>
        <v>1050</v>
      </c>
      <c r="O13" s="62">
        <f t="shared" si="1"/>
        <v>105</v>
      </c>
      <c r="P13" s="62">
        <f t="shared" si="2"/>
        <v>17.955000000000002</v>
      </c>
      <c r="Q13" s="62">
        <f t="shared" si="3"/>
        <v>5.25</v>
      </c>
      <c r="R13" s="62">
        <f t="shared" si="4"/>
        <v>5.25</v>
      </c>
      <c r="S13" s="43">
        <v>0</v>
      </c>
      <c r="T13" s="43">
        <f t="shared" si="5"/>
        <v>133.45499999999998</v>
      </c>
      <c r="U13" s="43">
        <f t="shared" si="6"/>
        <v>916.54500000000007</v>
      </c>
      <c r="V13" s="55"/>
      <c r="W13" s="116"/>
      <c r="X13" s="116"/>
      <c r="Y13" s="117"/>
    </row>
    <row r="14" spans="1:25" ht="22.5" customHeight="1">
      <c r="A14" s="57">
        <v>4</v>
      </c>
      <c r="B14" s="41" t="s">
        <v>44</v>
      </c>
      <c r="C14" s="41" t="s">
        <v>61</v>
      </c>
      <c r="D14" s="42"/>
      <c r="E14" s="14"/>
      <c r="F14" s="41" t="s">
        <v>49</v>
      </c>
      <c r="G14" s="30">
        <v>44593</v>
      </c>
      <c r="H14" s="63">
        <v>6</v>
      </c>
      <c r="I14" s="64"/>
      <c r="J14" s="14">
        <v>14</v>
      </c>
      <c r="K14" s="62">
        <v>1711.43</v>
      </c>
      <c r="L14" s="62"/>
      <c r="M14" s="43">
        <v>0</v>
      </c>
      <c r="N14" s="62">
        <f t="shared" si="0"/>
        <v>1711.43</v>
      </c>
      <c r="O14" s="62">
        <f t="shared" si="1"/>
        <v>171.14300000000003</v>
      </c>
      <c r="P14" s="62">
        <f t="shared" si="2"/>
        <v>29.265453000000001</v>
      </c>
      <c r="Q14" s="62">
        <f t="shared" si="3"/>
        <v>8.55715</v>
      </c>
      <c r="R14" s="62">
        <f t="shared" si="4"/>
        <v>8.55715</v>
      </c>
      <c r="S14" s="43">
        <v>0</v>
      </c>
      <c r="T14" s="43">
        <f t="shared" si="5"/>
        <v>217.52275300000005</v>
      </c>
      <c r="U14" s="43">
        <f t="shared" si="6"/>
        <v>1493.9072470000001</v>
      </c>
      <c r="V14" s="44"/>
      <c r="W14" s="116"/>
      <c r="X14" s="45">
        <v>1711.43</v>
      </c>
      <c r="Y14" s="117"/>
    </row>
    <row r="15" spans="1:25" ht="22.5" customHeight="1">
      <c r="A15" s="57">
        <v>5</v>
      </c>
      <c r="B15" s="41" t="s">
        <v>79</v>
      </c>
      <c r="C15" s="41" t="s">
        <v>80</v>
      </c>
      <c r="D15" s="42"/>
      <c r="E15" s="14"/>
      <c r="F15" s="41" t="s">
        <v>148</v>
      </c>
      <c r="G15" s="30">
        <v>44593</v>
      </c>
      <c r="H15" s="40">
        <v>6</v>
      </c>
      <c r="J15" s="15">
        <v>14</v>
      </c>
      <c r="K15" s="38">
        <v>1703</v>
      </c>
      <c r="L15" s="62"/>
      <c r="M15" s="43">
        <v>0</v>
      </c>
      <c r="N15" s="62">
        <f t="shared" si="0"/>
        <v>1703</v>
      </c>
      <c r="O15" s="62">
        <f t="shared" si="1"/>
        <v>170.3</v>
      </c>
      <c r="P15" s="62">
        <f t="shared" si="2"/>
        <v>29.121300000000002</v>
      </c>
      <c r="Q15" s="62">
        <f t="shared" si="3"/>
        <v>8.5150000000000006</v>
      </c>
      <c r="R15" s="62">
        <f t="shared" si="4"/>
        <v>8.5150000000000006</v>
      </c>
      <c r="S15" s="43">
        <v>0</v>
      </c>
      <c r="T15" s="43">
        <f t="shared" si="5"/>
        <v>216.4513</v>
      </c>
      <c r="U15" s="43">
        <f t="shared" si="6"/>
        <v>1486.5487000000001</v>
      </c>
      <c r="V15" s="44"/>
      <c r="W15" s="116"/>
      <c r="X15" s="45"/>
      <c r="Y15" s="117"/>
    </row>
    <row r="16" spans="1:25" ht="22.5" customHeight="1">
      <c r="A16" s="57">
        <v>6</v>
      </c>
      <c r="B16" s="41" t="s">
        <v>105</v>
      </c>
      <c r="C16" s="41" t="s">
        <v>104</v>
      </c>
      <c r="D16" s="42"/>
      <c r="E16" s="14"/>
      <c r="F16" s="41" t="s">
        <v>32</v>
      </c>
      <c r="G16" s="30">
        <v>44593</v>
      </c>
      <c r="H16" s="40">
        <v>5</v>
      </c>
      <c r="J16" s="15">
        <v>14</v>
      </c>
      <c r="K16" s="38">
        <v>1050</v>
      </c>
      <c r="L16" s="62"/>
      <c r="M16" s="43">
        <v>0</v>
      </c>
      <c r="N16" s="62">
        <f t="shared" si="0"/>
        <v>1050</v>
      </c>
      <c r="O16" s="62">
        <f t="shared" si="1"/>
        <v>105</v>
      </c>
      <c r="P16" s="62">
        <f t="shared" si="2"/>
        <v>17.955000000000002</v>
      </c>
      <c r="Q16" s="62">
        <f t="shared" si="3"/>
        <v>5.25</v>
      </c>
      <c r="R16" s="62">
        <f t="shared" si="4"/>
        <v>5.25</v>
      </c>
      <c r="S16" s="43">
        <v>0</v>
      </c>
      <c r="T16" s="43">
        <f t="shared" si="5"/>
        <v>133.45499999999998</v>
      </c>
      <c r="U16" s="43">
        <f t="shared" si="6"/>
        <v>916.54500000000007</v>
      </c>
      <c r="V16" s="44"/>
      <c r="W16" s="116"/>
      <c r="X16" s="45"/>
      <c r="Y16" s="117"/>
    </row>
    <row r="17" spans="1:25" ht="22.5" customHeight="1">
      <c r="A17" s="57">
        <v>7</v>
      </c>
      <c r="B17" s="41" t="s">
        <v>69</v>
      </c>
      <c r="C17" s="41" t="s">
        <v>70</v>
      </c>
      <c r="D17" s="42"/>
      <c r="E17" s="14"/>
      <c r="F17" s="41" t="s">
        <v>71</v>
      </c>
      <c r="G17" s="30">
        <v>44577</v>
      </c>
      <c r="H17" s="63">
        <v>6</v>
      </c>
      <c r="I17" s="64"/>
      <c r="J17" s="14">
        <v>14</v>
      </c>
      <c r="K17" s="62">
        <v>1150.24</v>
      </c>
      <c r="L17" s="62"/>
      <c r="M17" s="43">
        <v>0</v>
      </c>
      <c r="N17" s="62">
        <f t="shared" si="0"/>
        <v>1150.24</v>
      </c>
      <c r="O17" s="62">
        <f t="shared" si="1"/>
        <v>115.024</v>
      </c>
      <c r="P17" s="62">
        <f t="shared" si="2"/>
        <v>19.669104000000001</v>
      </c>
      <c r="Q17" s="62">
        <f t="shared" si="3"/>
        <v>5.7511999999999999</v>
      </c>
      <c r="R17" s="62">
        <f t="shared" si="4"/>
        <v>5.7511999999999999</v>
      </c>
      <c r="S17" s="43">
        <v>0</v>
      </c>
      <c r="T17" s="43">
        <f t="shared" si="5"/>
        <v>146.19550400000003</v>
      </c>
      <c r="U17" s="43">
        <f t="shared" si="6"/>
        <v>1004.044496</v>
      </c>
      <c r="V17" s="44"/>
      <c r="W17" s="116"/>
      <c r="X17" s="45"/>
      <c r="Y17" s="117"/>
    </row>
    <row r="18" spans="1:25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44593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W18" s="116"/>
      <c r="X18" s="45"/>
      <c r="Y18" s="117"/>
    </row>
    <row r="19" spans="1:25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337.5</v>
      </c>
      <c r="N19" s="62">
        <f t="shared" si="0"/>
        <v>2587.5</v>
      </c>
      <c r="O19" s="62">
        <f t="shared" si="1"/>
        <v>258.75</v>
      </c>
      <c r="P19" s="62">
        <f t="shared" si="2"/>
        <v>44.246250000000003</v>
      </c>
      <c r="Q19" s="62">
        <f t="shared" si="3"/>
        <v>12.9375</v>
      </c>
      <c r="R19" s="62">
        <f t="shared" si="4"/>
        <v>12.9375</v>
      </c>
      <c r="S19" s="43">
        <v>0</v>
      </c>
      <c r="T19" s="43">
        <f t="shared" si="5"/>
        <v>328.87125000000003</v>
      </c>
      <c r="U19" s="43">
        <f>+N19-T19</f>
        <v>2258.6287499999999</v>
      </c>
      <c r="V19" s="44"/>
      <c r="W19" s="116"/>
      <c r="X19" s="108">
        <v>2587.5</v>
      </c>
      <c r="Y19" s="117"/>
    </row>
    <row r="20" spans="1:25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44593</v>
      </c>
      <c r="H20" s="40">
        <v>5</v>
      </c>
      <c r="J20" s="15">
        <v>14</v>
      </c>
      <c r="K20" s="38">
        <v>1128.5999999999999</v>
      </c>
      <c r="L20" s="62"/>
      <c r="M20" s="43">
        <v>0</v>
      </c>
      <c r="N20" s="62">
        <f t="shared" si="0"/>
        <v>1128.5999999999999</v>
      </c>
      <c r="O20" s="62">
        <f t="shared" si="1"/>
        <v>112.86</v>
      </c>
      <c r="P20" s="62">
        <f t="shared" si="2"/>
        <v>19.299060000000001</v>
      </c>
      <c r="Q20" s="62">
        <f t="shared" si="3"/>
        <v>5.6429999999999998</v>
      </c>
      <c r="R20" s="62">
        <f t="shared" si="4"/>
        <v>5.6429999999999998</v>
      </c>
      <c r="S20" s="43">
        <v>0</v>
      </c>
      <c r="T20" s="43">
        <f t="shared" si="5"/>
        <v>143.44506000000001</v>
      </c>
      <c r="U20" s="43">
        <f t="shared" si="6"/>
        <v>985.1549399999999</v>
      </c>
      <c r="V20" s="44"/>
      <c r="W20" s="116"/>
      <c r="X20" s="45">
        <v>1128.5999999999999</v>
      </c>
      <c r="Y20" s="117"/>
    </row>
    <row r="21" spans="1:25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44593</v>
      </c>
      <c r="H21" s="40">
        <v>4</v>
      </c>
      <c r="J21" s="15">
        <v>14</v>
      </c>
      <c r="K21" s="38">
        <v>1050</v>
      </c>
      <c r="L21" s="62"/>
      <c r="M21" s="43">
        <v>0</v>
      </c>
      <c r="N21" s="62">
        <f t="shared" si="0"/>
        <v>1050</v>
      </c>
      <c r="O21" s="62">
        <f t="shared" si="1"/>
        <v>105</v>
      </c>
      <c r="P21" s="62">
        <f t="shared" si="2"/>
        <v>17.955000000000002</v>
      </c>
      <c r="Q21" s="62">
        <f t="shared" si="3"/>
        <v>5.25</v>
      </c>
      <c r="R21" s="62">
        <f t="shared" si="4"/>
        <v>5.25</v>
      </c>
      <c r="S21" s="43">
        <v>0</v>
      </c>
      <c r="T21" s="43">
        <f t="shared" si="5"/>
        <v>133.45499999999998</v>
      </c>
      <c r="U21" s="43">
        <f t="shared" si="6"/>
        <v>916.54500000000007</v>
      </c>
      <c r="V21" s="44"/>
      <c r="W21" s="116"/>
      <c r="X21" s="45"/>
      <c r="Y21" s="117"/>
    </row>
    <row r="22" spans="1:25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44593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W22" s="116"/>
      <c r="X22" s="45">
        <v>2359.9499999999998</v>
      </c>
      <c r="Y22" s="117"/>
    </row>
    <row r="23" spans="1:25" ht="22.5" customHeight="1">
      <c r="A23" s="57">
        <v>13</v>
      </c>
      <c r="B23" s="21" t="s">
        <v>96</v>
      </c>
      <c r="C23" s="21" t="s">
        <v>97</v>
      </c>
      <c r="D23" s="20"/>
      <c r="E23" s="22" t="s">
        <v>40</v>
      </c>
      <c r="F23" s="41" t="s">
        <v>40</v>
      </c>
      <c r="G23" s="30">
        <v>44593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W23" s="116"/>
      <c r="X23" s="45"/>
      <c r="Y23" s="117"/>
    </row>
    <row r="24" spans="1:25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44593</v>
      </c>
      <c r="H24" s="40">
        <v>4</v>
      </c>
      <c r="J24" s="15">
        <v>14</v>
      </c>
      <c r="K24" s="38">
        <v>1050</v>
      </c>
      <c r="L24" s="62"/>
      <c r="M24" s="43">
        <v>0</v>
      </c>
      <c r="N24" s="62">
        <f t="shared" si="0"/>
        <v>1050</v>
      </c>
      <c r="O24" s="62">
        <f t="shared" si="1"/>
        <v>105</v>
      </c>
      <c r="P24" s="62">
        <f t="shared" si="2"/>
        <v>17.955000000000002</v>
      </c>
      <c r="Q24" s="62">
        <f t="shared" si="3"/>
        <v>5.25</v>
      </c>
      <c r="R24" s="62">
        <f t="shared" si="4"/>
        <v>5.25</v>
      </c>
      <c r="S24" s="43">
        <v>0</v>
      </c>
      <c r="T24" s="43">
        <f t="shared" si="5"/>
        <v>133.45499999999998</v>
      </c>
      <c r="U24" s="43">
        <f t="shared" si="6"/>
        <v>916.54500000000007</v>
      </c>
      <c r="V24" s="44"/>
      <c r="W24" s="116"/>
      <c r="X24" s="45">
        <v>1050</v>
      </c>
      <c r="Y24" s="117"/>
    </row>
    <row r="25" spans="1:25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44593</v>
      </c>
      <c r="H25" s="40">
        <v>4</v>
      </c>
      <c r="J25" s="15">
        <v>14</v>
      </c>
      <c r="K25" s="38">
        <v>1092.27</v>
      </c>
      <c r="L25" s="62"/>
      <c r="M25" s="43">
        <v>0</v>
      </c>
      <c r="N25" s="62">
        <f t="shared" si="0"/>
        <v>1092.27</v>
      </c>
      <c r="O25" s="62">
        <f t="shared" si="1"/>
        <v>109.227</v>
      </c>
      <c r="P25" s="62">
        <f t="shared" si="2"/>
        <v>18.677817000000001</v>
      </c>
      <c r="Q25" s="62">
        <f t="shared" si="3"/>
        <v>5.4613500000000004</v>
      </c>
      <c r="R25" s="62">
        <f t="shared" si="4"/>
        <v>5.4613500000000004</v>
      </c>
      <c r="S25" s="43">
        <v>0</v>
      </c>
      <c r="T25" s="43">
        <f t="shared" si="5"/>
        <v>138.82751700000003</v>
      </c>
      <c r="U25" s="43">
        <f t="shared" si="6"/>
        <v>953.44248299999992</v>
      </c>
      <c r="V25" s="44"/>
      <c r="W25" s="116"/>
      <c r="X25" s="45"/>
      <c r="Y25" s="117"/>
    </row>
    <row r="26" spans="1:25" ht="22.5" customHeight="1">
      <c r="A26" s="57">
        <v>16</v>
      </c>
      <c r="B26" s="41" t="s">
        <v>41</v>
      </c>
      <c r="C26" s="41" t="s">
        <v>72</v>
      </c>
      <c r="D26" s="42"/>
      <c r="E26" s="14"/>
      <c r="F26" s="41" t="s">
        <v>73</v>
      </c>
      <c r="G26" s="30">
        <v>44593</v>
      </c>
      <c r="H26" s="40">
        <v>6</v>
      </c>
      <c r="J26" s="15">
        <v>14</v>
      </c>
      <c r="K26" s="38">
        <v>1050</v>
      </c>
      <c r="L26" s="62"/>
      <c r="M26" s="43">
        <v>0</v>
      </c>
      <c r="N26" s="62">
        <f t="shared" si="0"/>
        <v>1050</v>
      </c>
      <c r="O26" s="62">
        <f t="shared" si="1"/>
        <v>105</v>
      </c>
      <c r="P26" s="62">
        <f t="shared" si="2"/>
        <v>17.955000000000002</v>
      </c>
      <c r="Q26" s="62">
        <f t="shared" si="3"/>
        <v>5.25</v>
      </c>
      <c r="R26" s="62">
        <f t="shared" si="4"/>
        <v>5.25</v>
      </c>
      <c r="S26" s="43">
        <v>0</v>
      </c>
      <c r="T26" s="43">
        <f t="shared" si="5"/>
        <v>133.45499999999998</v>
      </c>
      <c r="U26" s="43">
        <f t="shared" si="6"/>
        <v>916.54500000000007</v>
      </c>
      <c r="V26" s="44"/>
      <c r="W26" s="116"/>
      <c r="X26" s="45"/>
      <c r="Y26" s="117"/>
    </row>
    <row r="27" spans="1:25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44593</v>
      </c>
      <c r="H27" s="40">
        <v>5</v>
      </c>
      <c r="J27" s="15">
        <v>14</v>
      </c>
      <c r="K27" s="38">
        <v>1050</v>
      </c>
      <c r="L27" s="62"/>
      <c r="M27" s="43">
        <v>0</v>
      </c>
      <c r="N27" s="62">
        <f t="shared" si="0"/>
        <v>1050</v>
      </c>
      <c r="O27" s="62">
        <f t="shared" si="1"/>
        <v>105</v>
      </c>
      <c r="P27" s="62">
        <f t="shared" si="2"/>
        <v>17.955000000000002</v>
      </c>
      <c r="Q27" s="62">
        <f t="shared" si="3"/>
        <v>5.25</v>
      </c>
      <c r="R27" s="62">
        <f t="shared" si="4"/>
        <v>5.25</v>
      </c>
      <c r="S27" s="43">
        <v>0</v>
      </c>
      <c r="T27" s="43">
        <f t="shared" si="5"/>
        <v>133.45499999999998</v>
      </c>
      <c r="U27" s="43">
        <f t="shared" si="6"/>
        <v>916.54500000000007</v>
      </c>
      <c r="V27" s="44"/>
      <c r="W27" s="116"/>
      <c r="X27" s="45"/>
      <c r="Y27" s="117"/>
    </row>
    <row r="28" spans="1:25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44593</v>
      </c>
      <c r="H28" s="74">
        <v>5</v>
      </c>
      <c r="J28" s="75">
        <v>14</v>
      </c>
      <c r="K28" s="38">
        <v>1150.23</v>
      </c>
      <c r="L28" s="62"/>
      <c r="M28" s="43">
        <v>0</v>
      </c>
      <c r="N28" s="62">
        <f t="shared" si="0"/>
        <v>1150.23</v>
      </c>
      <c r="O28" s="62">
        <f t="shared" si="1"/>
        <v>115.02300000000001</v>
      </c>
      <c r="P28" s="62">
        <f t="shared" si="2"/>
        <v>19.668933000000003</v>
      </c>
      <c r="Q28" s="62">
        <f t="shared" si="3"/>
        <v>5.75115</v>
      </c>
      <c r="R28" s="62">
        <f t="shared" si="4"/>
        <v>5.75115</v>
      </c>
      <c r="S28" s="43">
        <v>0</v>
      </c>
      <c r="T28" s="43">
        <f t="shared" si="5"/>
        <v>146.194233</v>
      </c>
      <c r="U28" s="43">
        <f t="shared" si="6"/>
        <v>1004.0357670000001</v>
      </c>
      <c r="V28" s="44"/>
      <c r="W28" s="116"/>
      <c r="X28" s="45">
        <v>1150.23</v>
      </c>
      <c r="Y28" s="117"/>
    </row>
    <row r="29" spans="1:25" ht="22.5" customHeight="1">
      <c r="A29" s="57">
        <v>19</v>
      </c>
      <c r="B29" s="41" t="s">
        <v>43</v>
      </c>
      <c r="C29" s="41" t="s">
        <v>124</v>
      </c>
      <c r="D29" s="42"/>
      <c r="E29" s="14"/>
      <c r="F29" s="41" t="s">
        <v>36</v>
      </c>
      <c r="G29" s="30">
        <v>44593</v>
      </c>
      <c r="H29" s="40">
        <v>5</v>
      </c>
      <c r="I29" s="76"/>
      <c r="J29" s="75">
        <v>30</v>
      </c>
      <c r="K29" s="68">
        <v>2250</v>
      </c>
      <c r="L29" s="69"/>
      <c r="M29" s="43">
        <v>0</v>
      </c>
      <c r="N29" s="62">
        <f t="shared" si="0"/>
        <v>2250</v>
      </c>
      <c r="O29" s="62">
        <f t="shared" si="1"/>
        <v>225</v>
      </c>
      <c r="P29" s="62">
        <f t="shared" si="2"/>
        <v>38.475000000000001</v>
      </c>
      <c r="Q29" s="62">
        <f t="shared" si="3"/>
        <v>11.25</v>
      </c>
      <c r="R29" s="62">
        <f t="shared" si="4"/>
        <v>11.25</v>
      </c>
      <c r="S29" s="43">
        <v>0</v>
      </c>
      <c r="T29" s="43">
        <f t="shared" si="5"/>
        <v>285.97500000000002</v>
      </c>
      <c r="U29" s="43">
        <f t="shared" si="6"/>
        <v>1964.0250000000001</v>
      </c>
      <c r="V29" s="44"/>
      <c r="W29" s="116"/>
      <c r="X29" s="45"/>
      <c r="Y29" s="117"/>
    </row>
    <row r="30" spans="1:25" ht="22.5" customHeight="1">
      <c r="A30" s="57">
        <v>20</v>
      </c>
      <c r="B30" s="41" t="s">
        <v>37</v>
      </c>
      <c r="C30" s="41" t="s">
        <v>38</v>
      </c>
      <c r="D30" s="42"/>
      <c r="E30" s="14"/>
      <c r="F30" s="41" t="s">
        <v>34</v>
      </c>
      <c r="G30" s="30">
        <v>44593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W30" s="116"/>
      <c r="X30" s="45">
        <v>2250</v>
      </c>
      <c r="Y30" s="117"/>
    </row>
    <row r="31" spans="1:25" s="18" customFormat="1" ht="21" customHeight="1">
      <c r="A31" s="33"/>
      <c r="B31" s="34"/>
      <c r="C31" s="35" t="s">
        <v>22</v>
      </c>
      <c r="D31" s="34"/>
      <c r="E31" s="36"/>
      <c r="F31" s="34"/>
      <c r="G31" s="34"/>
      <c r="H31" s="65"/>
      <c r="I31" s="65"/>
      <c r="J31" s="37"/>
      <c r="K31" s="32">
        <f>SUM(K11:K30)</f>
        <v>31145.72</v>
      </c>
      <c r="L31" s="32"/>
      <c r="M31" s="32">
        <f t="shared" ref="M31" si="7">SUM(M14:M28)</f>
        <v>337.5</v>
      </c>
      <c r="N31" s="32">
        <f>SUM(N11:N30)</f>
        <v>31483.22</v>
      </c>
      <c r="O31" s="32">
        <f>SUM(O11:O30)</f>
        <v>3148.3220000000001</v>
      </c>
      <c r="P31" s="32">
        <f>SUM(P11:P30)</f>
        <v>538.36306200000001</v>
      </c>
      <c r="Q31" s="32">
        <f>SUM(Q11:Q30)</f>
        <v>157.4161</v>
      </c>
      <c r="R31" s="32">
        <f>SUM(R11:R30)</f>
        <v>157.4161</v>
      </c>
      <c r="S31" s="32">
        <f>SUM(S14:S30)</f>
        <v>0</v>
      </c>
      <c r="T31" s="32">
        <f>SUM(T11:T30)</f>
        <v>4001.5172620000003</v>
      </c>
      <c r="U31" s="32">
        <f>SUM(U11:U30)</f>
        <v>27481.702738</v>
      </c>
      <c r="V31" s="19"/>
      <c r="W31" s="116"/>
      <c r="X31" s="116">
        <v>1101.31</v>
      </c>
      <c r="Y31" s="116"/>
    </row>
    <row r="32" spans="1:25" s="18" customFormat="1" ht="15.75" customHeight="1">
      <c r="A32"/>
      <c r="B32"/>
      <c r="C32"/>
      <c r="D32"/>
      <c r="E32" s="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3">
        <f>SUM(T31:T31)</f>
        <v>4001.5172620000003</v>
      </c>
      <c r="U32" s="23"/>
      <c r="X32" s="118">
        <f>SUM(X11:X31)</f>
        <v>14389.019999999999</v>
      </c>
    </row>
    <row r="33" spans="1:26" s="18" customFormat="1">
      <c r="A33"/>
      <c r="B33"/>
      <c r="C33"/>
      <c r="D33"/>
      <c r="E33" s="9"/>
      <c r="F33"/>
      <c r="G33"/>
      <c r="H33"/>
      <c r="I33"/>
      <c r="J33"/>
      <c r="K33"/>
      <c r="L33"/>
      <c r="M33"/>
      <c r="N33" s="46"/>
      <c r="O33"/>
      <c r="P33"/>
      <c r="Q33"/>
      <c r="R33"/>
      <c r="S33"/>
      <c r="T33"/>
      <c r="U33"/>
      <c r="V33"/>
      <c r="Y33"/>
      <c r="Z3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 t="s">
        <v>172</v>
      </c>
      <c r="L35"/>
      <c r="M35"/>
      <c r="N35"/>
      <c r="O35"/>
      <c r="P35"/>
      <c r="Q35"/>
      <c r="R35"/>
      <c r="S35"/>
      <c r="T35"/>
      <c r="U35"/>
      <c r="V35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Z19"/>
  <sheetViews>
    <sheetView workbookViewId="0">
      <selection activeCell="P21" sqref="P21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177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41" t="s">
        <v>44</v>
      </c>
      <c r="C11" s="41" t="s">
        <v>61</v>
      </c>
      <c r="D11" s="42"/>
      <c r="E11" s="14"/>
      <c r="F11" s="41" t="s">
        <v>49</v>
      </c>
      <c r="G11" s="30">
        <v>44942</v>
      </c>
      <c r="H11" s="63">
        <v>5</v>
      </c>
      <c r="I11" s="64"/>
      <c r="J11" s="14">
        <v>15</v>
      </c>
      <c r="K11" s="62">
        <v>1833.68</v>
      </c>
      <c r="L11" s="62"/>
      <c r="M11" s="43">
        <v>0</v>
      </c>
      <c r="N11" s="62">
        <f t="shared" ref="N11:N14" si="0">K11+M11</f>
        <v>1833.68</v>
      </c>
      <c r="O11" s="62">
        <f t="shared" ref="O11:O14" si="1">+N11*0.1</f>
        <v>183.36800000000002</v>
      </c>
      <c r="P11" s="62">
        <f t="shared" ref="P11:P14" si="2">+N11*0.0171</f>
        <v>31.355928000000002</v>
      </c>
      <c r="Q11" s="62">
        <f t="shared" ref="Q11:Q14" si="3">+N11*0.005</f>
        <v>9.1684000000000001</v>
      </c>
      <c r="R11" s="62">
        <f t="shared" ref="R11:R14" si="4">N11*0.5%</f>
        <v>9.1684000000000001</v>
      </c>
      <c r="S11" s="43">
        <v>0</v>
      </c>
      <c r="T11" s="43">
        <f t="shared" ref="T11:T14" si="5">+O11+P11+Q11+R11+S11</f>
        <v>233.06072800000001</v>
      </c>
      <c r="U11" s="43">
        <f t="shared" ref="U11:U12" si="6">+N11-T11</f>
        <v>1600.6192720000001</v>
      </c>
      <c r="V11" s="44"/>
      <c r="X11" s="45"/>
    </row>
    <row r="12" spans="1:24" ht="22.5" customHeight="1">
      <c r="A12" s="57">
        <v>2</v>
      </c>
      <c r="B12" s="41" t="s">
        <v>79</v>
      </c>
      <c r="C12" s="41" t="s">
        <v>80</v>
      </c>
      <c r="D12" s="42"/>
      <c r="E12" s="14"/>
      <c r="F12" s="41" t="s">
        <v>81</v>
      </c>
      <c r="G12" s="30">
        <v>44942</v>
      </c>
      <c r="H12" s="40">
        <v>5</v>
      </c>
      <c r="J12" s="15">
        <v>15</v>
      </c>
      <c r="K12" s="38">
        <v>1824.64</v>
      </c>
      <c r="L12" s="62"/>
      <c r="M12" s="43">
        <v>0</v>
      </c>
      <c r="N12" s="62">
        <f t="shared" si="0"/>
        <v>1824.64</v>
      </c>
      <c r="O12" s="62">
        <f t="shared" si="1"/>
        <v>182.46400000000003</v>
      </c>
      <c r="P12" s="62">
        <f t="shared" si="2"/>
        <v>31.201344000000002</v>
      </c>
      <c r="Q12" s="62">
        <f t="shared" si="3"/>
        <v>9.1232000000000006</v>
      </c>
      <c r="R12" s="62">
        <f t="shared" si="4"/>
        <v>9.1232000000000006</v>
      </c>
      <c r="S12" s="43">
        <v>0</v>
      </c>
      <c r="T12" s="43">
        <f t="shared" si="5"/>
        <v>231.91174400000003</v>
      </c>
      <c r="U12" s="43">
        <f t="shared" si="6"/>
        <v>1592.7282560000001</v>
      </c>
      <c r="V12" s="44"/>
      <c r="X12" s="45"/>
    </row>
    <row r="13" spans="1:24" ht="22.5" customHeight="1">
      <c r="A13" s="57">
        <v>3</v>
      </c>
      <c r="B13" s="41" t="s">
        <v>19</v>
      </c>
      <c r="C13" s="41" t="s">
        <v>20</v>
      </c>
      <c r="D13" s="42"/>
      <c r="E13" s="14"/>
      <c r="F13" s="41" t="s">
        <v>178</v>
      </c>
      <c r="G13" s="30">
        <v>44927</v>
      </c>
      <c r="H13" s="40">
        <v>6</v>
      </c>
      <c r="J13" s="15">
        <v>30</v>
      </c>
      <c r="K13" s="38">
        <v>2703.57</v>
      </c>
      <c r="L13" s="62"/>
      <c r="M13" s="43">
        <v>0</v>
      </c>
      <c r="N13" s="62">
        <f>K13+M13</f>
        <v>2703.57</v>
      </c>
      <c r="O13" s="62">
        <f>+N13*0.1</f>
        <v>270.35700000000003</v>
      </c>
      <c r="P13" s="62">
        <f>+N13*0.0171</f>
        <v>46.231047000000004</v>
      </c>
      <c r="Q13" s="62">
        <f>+N13*0.005</f>
        <v>13.517850000000001</v>
      </c>
      <c r="R13" s="62">
        <f>N13*0.5%</f>
        <v>13.517850000000001</v>
      </c>
      <c r="S13" s="43">
        <v>0</v>
      </c>
      <c r="T13" s="43">
        <f>+O13+P13+Q13+R13+S13</f>
        <v>343.62374700000004</v>
      </c>
      <c r="U13" s="43">
        <f>+N13-T13</f>
        <v>2359.9462530000001</v>
      </c>
      <c r="V13" s="44"/>
      <c r="X13" s="45"/>
    </row>
    <row r="14" spans="1:24" ht="22.5" customHeight="1">
      <c r="A14" s="57">
        <v>4</v>
      </c>
      <c r="B14" s="41" t="s">
        <v>45</v>
      </c>
      <c r="C14" s="41" t="s">
        <v>46</v>
      </c>
      <c r="D14" s="42"/>
      <c r="E14" s="14"/>
      <c r="F14" s="41" t="s">
        <v>47</v>
      </c>
      <c r="G14" s="30">
        <v>43101</v>
      </c>
      <c r="H14" s="63">
        <v>6</v>
      </c>
      <c r="I14" s="64"/>
      <c r="J14" s="14">
        <v>30</v>
      </c>
      <c r="K14" s="62">
        <v>2250</v>
      </c>
      <c r="L14" s="62"/>
      <c r="M14" s="43">
        <v>742.5</v>
      </c>
      <c r="N14" s="62">
        <f t="shared" si="0"/>
        <v>2992.5</v>
      </c>
      <c r="O14" s="62">
        <f t="shared" si="1"/>
        <v>299.25</v>
      </c>
      <c r="P14" s="62">
        <f t="shared" si="2"/>
        <v>51.171750000000003</v>
      </c>
      <c r="Q14" s="62">
        <f t="shared" si="3"/>
        <v>14.9625</v>
      </c>
      <c r="R14" s="62">
        <f t="shared" si="4"/>
        <v>14.9625</v>
      </c>
      <c r="S14" s="43">
        <v>0</v>
      </c>
      <c r="T14" s="43">
        <f t="shared" si="5"/>
        <v>380.34674999999993</v>
      </c>
      <c r="U14" s="43">
        <f>+N14-T14</f>
        <v>2612.1532500000003</v>
      </c>
      <c r="V14" s="44"/>
      <c r="X14" s="108"/>
    </row>
    <row r="15" spans="1:24" s="18" customFormat="1" ht="21" customHeight="1">
      <c r="A15" s="33"/>
      <c r="B15" s="34"/>
      <c r="C15" s="35" t="s">
        <v>22</v>
      </c>
      <c r="D15" s="34"/>
      <c r="E15" s="36"/>
      <c r="F15" s="34"/>
      <c r="G15" s="34"/>
      <c r="H15" s="65"/>
      <c r="I15" s="65"/>
      <c r="J15" s="37"/>
      <c r="K15" s="32">
        <f>SUM(K11:K14)</f>
        <v>8611.89</v>
      </c>
      <c r="L15" s="32"/>
      <c r="M15" s="32">
        <f t="shared" ref="M15:U15" si="7">SUM(M11:M14)</f>
        <v>742.5</v>
      </c>
      <c r="N15" s="32">
        <f t="shared" si="7"/>
        <v>9354.39</v>
      </c>
      <c r="O15" s="32">
        <f t="shared" si="7"/>
        <v>935.43900000000008</v>
      </c>
      <c r="P15" s="32">
        <f t="shared" si="7"/>
        <v>159.960069</v>
      </c>
      <c r="Q15" s="32">
        <f t="shared" si="7"/>
        <v>46.771950000000004</v>
      </c>
      <c r="R15" s="32">
        <f t="shared" si="7"/>
        <v>46.771950000000004</v>
      </c>
      <c r="S15" s="32">
        <f t="shared" si="7"/>
        <v>0</v>
      </c>
      <c r="T15" s="32">
        <f t="shared" si="7"/>
        <v>1188.9429689999999</v>
      </c>
      <c r="U15" s="32">
        <f t="shared" si="7"/>
        <v>8165.4470310000006</v>
      </c>
      <c r="V15" s="19"/>
    </row>
    <row r="16" spans="1:24" s="18" customFormat="1" ht="9.75" customHeight="1">
      <c r="A16"/>
      <c r="B16"/>
      <c r="C16"/>
      <c r="D16"/>
      <c r="E16" s="9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s="23">
        <f>SUM(T15:T15)</f>
        <v>1188.9429689999999</v>
      </c>
      <c r="U16" s="23"/>
    </row>
    <row r="17" spans="1:26" s="18" customFormat="1">
      <c r="A17"/>
      <c r="B17"/>
      <c r="C17"/>
      <c r="D17"/>
      <c r="E17" s="9"/>
      <c r="F17"/>
      <c r="G17"/>
      <c r="H17"/>
      <c r="I17"/>
      <c r="J17"/>
      <c r="K17"/>
      <c r="L17"/>
      <c r="M17"/>
      <c r="N17" s="46"/>
      <c r="O17"/>
      <c r="P17"/>
      <c r="Q17"/>
      <c r="R17"/>
      <c r="S17"/>
      <c r="T17"/>
      <c r="U17"/>
      <c r="V17"/>
      <c r="Y17"/>
      <c r="Z17"/>
    </row>
    <row r="18" spans="1:26" s="18" customFormat="1">
      <c r="A18"/>
      <c r="B18"/>
      <c r="C18"/>
      <c r="D18"/>
      <c r="E18" s="9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6" s="18" customFormat="1">
      <c r="A19"/>
      <c r="B19"/>
      <c r="C19"/>
      <c r="D19"/>
      <c r="E19" s="9"/>
      <c r="F19"/>
      <c r="G19"/>
      <c r="H19"/>
      <c r="I19"/>
      <c r="J19"/>
      <c r="K19" t="s">
        <v>147</v>
      </c>
      <c r="L19"/>
      <c r="M19"/>
      <c r="N19"/>
      <c r="O19"/>
      <c r="P19"/>
      <c r="Q19"/>
      <c r="R19"/>
      <c r="S19"/>
      <c r="T19"/>
      <c r="U19"/>
      <c r="V19"/>
    </row>
  </sheetData>
  <mergeCells count="17"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  <mergeCell ref="U8:U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Z36"/>
  <sheetViews>
    <sheetView topLeftCell="A23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179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2250</v>
      </c>
      <c r="L11" s="60"/>
      <c r="M11" s="43">
        <v>0</v>
      </c>
      <c r="N11" s="62">
        <f t="shared" ref="N11:N31" si="0">K11+M11</f>
        <v>2250</v>
      </c>
      <c r="O11" s="62">
        <f t="shared" ref="O11:O31" si="1">+N11*0.1</f>
        <v>225</v>
      </c>
      <c r="P11" s="62">
        <f t="shared" ref="P11:P31" si="2">+N11*0.0171</f>
        <v>38.475000000000001</v>
      </c>
      <c r="Q11" s="62">
        <f t="shared" ref="Q11:Q31" si="3">+N11*0.005</f>
        <v>11.25</v>
      </c>
      <c r="R11" s="62">
        <f t="shared" ref="R11:R31" si="4">N11*0.5%</f>
        <v>11.25</v>
      </c>
      <c r="S11" s="43">
        <v>0</v>
      </c>
      <c r="T11" s="43">
        <f t="shared" ref="T11:T31" si="5">+O11+P11+Q11+R11+S11</f>
        <v>285.97500000000002</v>
      </c>
      <c r="U11" s="43">
        <f t="shared" ref="U11:U31" si="6">+N11-T11</f>
        <v>1964.0250000000001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2400</v>
      </c>
      <c r="L12" s="60"/>
      <c r="M12" s="43">
        <v>0</v>
      </c>
      <c r="N12" s="62">
        <f t="shared" si="0"/>
        <v>2400</v>
      </c>
      <c r="O12" s="62">
        <f t="shared" si="1"/>
        <v>240</v>
      </c>
      <c r="P12" s="62">
        <f t="shared" si="2"/>
        <v>41.04</v>
      </c>
      <c r="Q12" s="62">
        <f t="shared" si="3"/>
        <v>12</v>
      </c>
      <c r="R12" s="62">
        <f t="shared" si="4"/>
        <v>12</v>
      </c>
      <c r="S12" s="43">
        <v>0</v>
      </c>
      <c r="T12" s="43">
        <f t="shared" si="5"/>
        <v>305.04000000000002</v>
      </c>
      <c r="U12" s="43">
        <f t="shared" si="6"/>
        <v>2094.96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3917.36</v>
      </c>
      <c r="L13" s="62"/>
      <c r="M13" s="43">
        <v>0</v>
      </c>
      <c r="N13" s="62">
        <f t="shared" si="0"/>
        <v>3917.36</v>
      </c>
      <c r="O13" s="62">
        <f t="shared" si="1"/>
        <v>391.73600000000005</v>
      </c>
      <c r="P13" s="62">
        <f t="shared" si="2"/>
        <v>66.986856000000003</v>
      </c>
      <c r="Q13" s="62">
        <f t="shared" si="3"/>
        <v>19.5868</v>
      </c>
      <c r="R13" s="62">
        <f t="shared" si="4"/>
        <v>19.5868</v>
      </c>
      <c r="S13" s="43">
        <v>0</v>
      </c>
      <c r="T13" s="43">
        <f t="shared" si="5"/>
        <v>497.896456</v>
      </c>
      <c r="U13" s="43">
        <f t="shared" si="6"/>
        <v>3419.4635440000002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3899.29</v>
      </c>
      <c r="L14" s="62"/>
      <c r="M14" s="43">
        <v>0</v>
      </c>
      <c r="N14" s="62">
        <f t="shared" si="0"/>
        <v>3899.29</v>
      </c>
      <c r="O14" s="62">
        <f t="shared" si="1"/>
        <v>389.92900000000003</v>
      </c>
      <c r="P14" s="62">
        <f t="shared" si="2"/>
        <v>66.677858999999998</v>
      </c>
      <c r="Q14" s="62">
        <f t="shared" si="3"/>
        <v>19.496449999999999</v>
      </c>
      <c r="R14" s="62">
        <f t="shared" si="4"/>
        <v>19.496449999999999</v>
      </c>
      <c r="S14" s="43">
        <v>0</v>
      </c>
      <c r="T14" s="43">
        <f t="shared" si="5"/>
        <v>495.59975900000001</v>
      </c>
      <c r="U14" s="43">
        <f t="shared" si="6"/>
        <v>3403.6902409999998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2703.57</v>
      </c>
      <c r="L15" s="62"/>
      <c r="M15" s="43">
        <v>0</v>
      </c>
      <c r="N15" s="62">
        <f t="shared" si="0"/>
        <v>2703.57</v>
      </c>
      <c r="O15" s="62">
        <f t="shared" si="1"/>
        <v>270.35700000000003</v>
      </c>
      <c r="P15" s="62">
        <f t="shared" si="2"/>
        <v>46.231047000000004</v>
      </c>
      <c r="Q15" s="62">
        <f t="shared" si="3"/>
        <v>13.517850000000001</v>
      </c>
      <c r="R15" s="62">
        <f t="shared" si="4"/>
        <v>13.517850000000001</v>
      </c>
      <c r="S15" s="43">
        <v>0</v>
      </c>
      <c r="T15" s="43">
        <f t="shared" si="5"/>
        <v>343.62374700000004</v>
      </c>
      <c r="U15" s="43">
        <f t="shared" si="6"/>
        <v>2359.9462530000001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2875</v>
      </c>
      <c r="L16" s="62"/>
      <c r="M16" s="43">
        <v>0</v>
      </c>
      <c r="N16" s="62">
        <f t="shared" si="0"/>
        <v>2875</v>
      </c>
      <c r="O16" s="62">
        <f t="shared" si="1"/>
        <v>287.5</v>
      </c>
      <c r="P16" s="62">
        <f t="shared" si="2"/>
        <v>49.162500000000001</v>
      </c>
      <c r="Q16" s="62">
        <f t="shared" si="3"/>
        <v>14.375</v>
      </c>
      <c r="R16" s="62">
        <f t="shared" si="4"/>
        <v>14.375</v>
      </c>
      <c r="S16" s="43">
        <v>0</v>
      </c>
      <c r="T16" s="43">
        <f t="shared" si="5"/>
        <v>365.41250000000002</v>
      </c>
      <c r="U16" s="43">
        <f t="shared" si="6"/>
        <v>2509.5875000000001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2250</v>
      </c>
      <c r="L17" s="62"/>
      <c r="M17" s="43">
        <v>0</v>
      </c>
      <c r="N17" s="62">
        <f t="shared" si="0"/>
        <v>2250</v>
      </c>
      <c r="O17" s="62">
        <f t="shared" si="1"/>
        <v>225</v>
      </c>
      <c r="P17" s="62">
        <f t="shared" si="2"/>
        <v>38.475000000000001</v>
      </c>
      <c r="Q17" s="62">
        <f t="shared" si="3"/>
        <v>11.25</v>
      </c>
      <c r="R17" s="62">
        <f t="shared" si="4"/>
        <v>11.25</v>
      </c>
      <c r="S17" s="43">
        <v>0</v>
      </c>
      <c r="T17" s="43">
        <f t="shared" si="5"/>
        <v>285.97500000000002</v>
      </c>
      <c r="U17" s="43">
        <f t="shared" si="6"/>
        <v>1964.0250000000001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44958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742.5</v>
      </c>
      <c r="N19" s="62">
        <f t="shared" si="0"/>
        <v>2992.5</v>
      </c>
      <c r="O19" s="62">
        <f t="shared" si="1"/>
        <v>299.25</v>
      </c>
      <c r="P19" s="62">
        <f t="shared" si="2"/>
        <v>51.171750000000003</v>
      </c>
      <c r="Q19" s="62">
        <f t="shared" si="3"/>
        <v>14.9625</v>
      </c>
      <c r="R19" s="62">
        <f t="shared" si="4"/>
        <v>14.9625</v>
      </c>
      <c r="S19" s="43">
        <v>0</v>
      </c>
      <c r="T19" s="43">
        <f t="shared" si="5"/>
        <v>380.34674999999993</v>
      </c>
      <c r="U19" s="43">
        <f>+N19-T19</f>
        <v>2612.1532500000003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44958</v>
      </c>
      <c r="H20" s="40">
        <v>5</v>
      </c>
      <c r="J20" s="15">
        <v>30</v>
      </c>
      <c r="K20" s="38">
        <v>2568.44</v>
      </c>
      <c r="L20" s="62"/>
      <c r="M20" s="43">
        <v>0</v>
      </c>
      <c r="N20" s="62">
        <f t="shared" si="0"/>
        <v>2568.44</v>
      </c>
      <c r="O20" s="62">
        <f t="shared" si="1"/>
        <v>256.84399999999999</v>
      </c>
      <c r="P20" s="62">
        <f t="shared" si="2"/>
        <v>43.920324000000001</v>
      </c>
      <c r="Q20" s="62">
        <f t="shared" si="3"/>
        <v>12.8422</v>
      </c>
      <c r="R20" s="62">
        <f t="shared" si="4"/>
        <v>12.8422</v>
      </c>
      <c r="S20" s="43">
        <v>0</v>
      </c>
      <c r="T20" s="43">
        <f t="shared" si="5"/>
        <v>326.44872399999997</v>
      </c>
      <c r="U20" s="43">
        <f t="shared" si="6"/>
        <v>2241.9912760000002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44958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44958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181</v>
      </c>
      <c r="D23" s="20"/>
      <c r="E23" s="22" t="s">
        <v>40</v>
      </c>
      <c r="F23" s="41" t="s">
        <v>40</v>
      </c>
      <c r="G23" s="30">
        <v>44958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44958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44958</v>
      </c>
      <c r="H26" s="40">
        <v>5</v>
      </c>
      <c r="J26" s="15">
        <v>30</v>
      </c>
      <c r="K26" s="38">
        <v>2400</v>
      </c>
      <c r="L26" s="62"/>
      <c r="M26" s="43">
        <v>0</v>
      </c>
      <c r="N26" s="62">
        <f t="shared" si="0"/>
        <v>2400</v>
      </c>
      <c r="O26" s="62">
        <f t="shared" si="1"/>
        <v>240</v>
      </c>
      <c r="P26" s="62">
        <f t="shared" si="2"/>
        <v>41.04</v>
      </c>
      <c r="Q26" s="62">
        <f t="shared" si="3"/>
        <v>12</v>
      </c>
      <c r="R26" s="62">
        <f t="shared" si="4"/>
        <v>12</v>
      </c>
      <c r="S26" s="43">
        <v>0</v>
      </c>
      <c r="T26" s="43">
        <f t="shared" si="5"/>
        <v>305.04000000000002</v>
      </c>
      <c r="U26" s="43">
        <f t="shared" si="6"/>
        <v>2094.96</v>
      </c>
      <c r="V26" s="44"/>
      <c r="X26" s="45"/>
    </row>
    <row r="27" spans="1:24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44958</v>
      </c>
      <c r="H27" s="40">
        <v>6</v>
      </c>
      <c r="J27" s="15">
        <v>30</v>
      </c>
      <c r="K27" s="38">
        <v>2250</v>
      </c>
      <c r="L27" s="62"/>
      <c r="M27" s="43">
        <v>0</v>
      </c>
      <c r="N27" s="62">
        <f>K27+M27</f>
        <v>2250</v>
      </c>
      <c r="O27" s="62">
        <f>+N27*0.1</f>
        <v>225</v>
      </c>
      <c r="P27" s="62">
        <f>+N27*0.0171</f>
        <v>38.475000000000001</v>
      </c>
      <c r="Q27" s="62">
        <f>+N27*0.005</f>
        <v>11.25</v>
      </c>
      <c r="R27" s="62">
        <f>N27*0.5%</f>
        <v>11.25</v>
      </c>
      <c r="S27" s="43">
        <v>0</v>
      </c>
      <c r="T27" s="43">
        <f>+O27+P27+Q27+R27+S27</f>
        <v>285.97500000000002</v>
      </c>
      <c r="U27" s="43">
        <f>+N27-T27</f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44958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183</v>
      </c>
      <c r="C29" s="41" t="s">
        <v>184</v>
      </c>
      <c r="D29" s="42"/>
      <c r="E29" s="14"/>
      <c r="F29" s="123" t="s">
        <v>185</v>
      </c>
      <c r="G29" s="30">
        <v>44958</v>
      </c>
      <c r="H29" s="122">
        <v>6</v>
      </c>
      <c r="I29" s="15">
        <v>30</v>
      </c>
      <c r="J29" s="75">
        <v>30</v>
      </c>
      <c r="K29" s="68">
        <v>3090</v>
      </c>
      <c r="L29" s="69"/>
      <c r="M29" s="43">
        <v>0</v>
      </c>
      <c r="N29" s="62">
        <f t="shared" si="0"/>
        <v>3090</v>
      </c>
      <c r="O29" s="62">
        <f t="shared" si="1"/>
        <v>309</v>
      </c>
      <c r="P29" s="62">
        <f t="shared" si="2"/>
        <v>52.838999999999999</v>
      </c>
      <c r="Q29" s="62">
        <f t="shared" si="3"/>
        <v>15.450000000000001</v>
      </c>
      <c r="R29" s="62">
        <f t="shared" si="4"/>
        <v>15.450000000000001</v>
      </c>
      <c r="S29" s="43">
        <v>0</v>
      </c>
      <c r="T29" s="43">
        <f t="shared" si="5"/>
        <v>392.73899999999998</v>
      </c>
      <c r="U29" s="43">
        <f t="shared" si="6"/>
        <v>2697.261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30">
        <v>44958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44958</v>
      </c>
      <c r="H31" s="40">
        <v>5</v>
      </c>
      <c r="I31" s="76"/>
      <c r="J31" s="75">
        <v>30</v>
      </c>
      <c r="K31" s="68">
        <v>2250</v>
      </c>
      <c r="L31" s="69"/>
      <c r="M31" s="43">
        <v>0</v>
      </c>
      <c r="N31" s="62">
        <f t="shared" si="0"/>
        <v>2250</v>
      </c>
      <c r="O31" s="62">
        <f t="shared" si="1"/>
        <v>225</v>
      </c>
      <c r="P31" s="62">
        <f t="shared" si="2"/>
        <v>38.475000000000001</v>
      </c>
      <c r="Q31" s="62">
        <f t="shared" si="3"/>
        <v>11.25</v>
      </c>
      <c r="R31" s="62">
        <f t="shared" si="4"/>
        <v>11.25</v>
      </c>
      <c r="S31" s="43">
        <v>0</v>
      </c>
      <c r="T31" s="43">
        <f t="shared" si="5"/>
        <v>285.97500000000002</v>
      </c>
      <c r="U31" s="43">
        <f t="shared" si="6"/>
        <v>1964.0250000000001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53518.99</v>
      </c>
      <c r="L32" s="32"/>
      <c r="M32" s="32">
        <f t="shared" ref="M32" si="7">SUM(M13:M28)</f>
        <v>742.5</v>
      </c>
      <c r="N32" s="32">
        <f>SUM(N11:N31)</f>
        <v>54261.49</v>
      </c>
      <c r="O32" s="32">
        <f>SUM(O11:O31)</f>
        <v>5426.1490000000003</v>
      </c>
      <c r="P32" s="32">
        <f>SUM(P11:P31)</f>
        <v>927.87147900000014</v>
      </c>
      <c r="Q32" s="32">
        <f>SUM(Q11:Q31)</f>
        <v>271.30745000000002</v>
      </c>
      <c r="R32" s="32">
        <f>SUM(R11:R31)</f>
        <v>271.30745000000002</v>
      </c>
      <c r="S32" s="32">
        <f>SUM(S13:S31)</f>
        <v>0</v>
      </c>
      <c r="T32" s="32">
        <f>SUM(T11:T31)</f>
        <v>6896.6353790000021</v>
      </c>
      <c r="U32" s="32">
        <f>SUM(U11:U31)</f>
        <v>47364.854621000006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6896.6353790000021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182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Z36"/>
  <sheetViews>
    <sheetView topLeftCell="A8" workbookViewId="0">
      <selection activeCell="N37" sqref="N37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187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2250</v>
      </c>
      <c r="L11" s="60"/>
      <c r="M11" s="43">
        <v>0</v>
      </c>
      <c r="N11" s="62">
        <f t="shared" ref="N11:N31" si="0">K11+M11</f>
        <v>2250</v>
      </c>
      <c r="O11" s="62">
        <f t="shared" ref="O11:O31" si="1">+N11*0.1</f>
        <v>225</v>
      </c>
      <c r="P11" s="62">
        <f t="shared" ref="P11:P31" si="2">+N11*0.0171</f>
        <v>38.475000000000001</v>
      </c>
      <c r="Q11" s="62">
        <f t="shared" ref="Q11:Q31" si="3">+N11*0.005</f>
        <v>11.25</v>
      </c>
      <c r="R11" s="62">
        <f t="shared" ref="R11:R31" si="4">N11*0.5%</f>
        <v>11.25</v>
      </c>
      <c r="S11" s="43">
        <v>0</v>
      </c>
      <c r="T11" s="43">
        <f t="shared" ref="T11:T31" si="5">+O11+P11+Q11+R11+S11</f>
        <v>285.97500000000002</v>
      </c>
      <c r="U11" s="43">
        <f t="shared" ref="U11:U31" si="6">+N11-T11</f>
        <v>1964.0250000000001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2400</v>
      </c>
      <c r="L12" s="60"/>
      <c r="M12" s="43">
        <v>0</v>
      </c>
      <c r="N12" s="62">
        <f t="shared" si="0"/>
        <v>2400</v>
      </c>
      <c r="O12" s="62">
        <f t="shared" si="1"/>
        <v>240</v>
      </c>
      <c r="P12" s="62">
        <f t="shared" si="2"/>
        <v>41.04</v>
      </c>
      <c r="Q12" s="62">
        <f t="shared" si="3"/>
        <v>12</v>
      </c>
      <c r="R12" s="62">
        <f t="shared" si="4"/>
        <v>12</v>
      </c>
      <c r="S12" s="43">
        <v>0</v>
      </c>
      <c r="T12" s="43">
        <f t="shared" si="5"/>
        <v>305.04000000000002</v>
      </c>
      <c r="U12" s="43">
        <f t="shared" si="6"/>
        <v>2094.96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3917.36</v>
      </c>
      <c r="L13" s="62"/>
      <c r="M13" s="43">
        <v>0</v>
      </c>
      <c r="N13" s="62">
        <f t="shared" si="0"/>
        <v>3917.36</v>
      </c>
      <c r="O13" s="62">
        <f t="shared" si="1"/>
        <v>391.73600000000005</v>
      </c>
      <c r="P13" s="62">
        <f t="shared" si="2"/>
        <v>66.986856000000003</v>
      </c>
      <c r="Q13" s="62">
        <f t="shared" si="3"/>
        <v>19.5868</v>
      </c>
      <c r="R13" s="62">
        <f t="shared" si="4"/>
        <v>19.5868</v>
      </c>
      <c r="S13" s="43">
        <v>0</v>
      </c>
      <c r="T13" s="43">
        <f t="shared" si="5"/>
        <v>497.896456</v>
      </c>
      <c r="U13" s="43">
        <f t="shared" si="6"/>
        <v>3419.4635440000002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3899.29</v>
      </c>
      <c r="L14" s="62"/>
      <c r="M14" s="43">
        <v>0</v>
      </c>
      <c r="N14" s="62">
        <f t="shared" si="0"/>
        <v>3899.29</v>
      </c>
      <c r="O14" s="62">
        <f t="shared" si="1"/>
        <v>389.92900000000003</v>
      </c>
      <c r="P14" s="62">
        <f t="shared" si="2"/>
        <v>66.677858999999998</v>
      </c>
      <c r="Q14" s="62">
        <f t="shared" si="3"/>
        <v>19.496449999999999</v>
      </c>
      <c r="R14" s="62">
        <f t="shared" si="4"/>
        <v>19.496449999999999</v>
      </c>
      <c r="S14" s="43">
        <v>0</v>
      </c>
      <c r="T14" s="43">
        <f t="shared" si="5"/>
        <v>495.59975900000001</v>
      </c>
      <c r="U14" s="43">
        <f t="shared" si="6"/>
        <v>3403.6902409999998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2703.57</v>
      </c>
      <c r="L15" s="62"/>
      <c r="M15" s="43">
        <v>0</v>
      </c>
      <c r="N15" s="62">
        <f t="shared" si="0"/>
        <v>2703.57</v>
      </c>
      <c r="O15" s="62">
        <f t="shared" si="1"/>
        <v>270.35700000000003</v>
      </c>
      <c r="P15" s="62">
        <f t="shared" si="2"/>
        <v>46.231047000000004</v>
      </c>
      <c r="Q15" s="62">
        <f t="shared" si="3"/>
        <v>13.517850000000001</v>
      </c>
      <c r="R15" s="62">
        <f t="shared" si="4"/>
        <v>13.517850000000001</v>
      </c>
      <c r="S15" s="43">
        <v>0</v>
      </c>
      <c r="T15" s="43">
        <f t="shared" si="5"/>
        <v>343.62374700000004</v>
      </c>
      <c r="U15" s="43">
        <f t="shared" si="6"/>
        <v>2359.9462530000001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2875</v>
      </c>
      <c r="L16" s="62"/>
      <c r="M16" s="43">
        <v>0</v>
      </c>
      <c r="N16" s="62">
        <f t="shared" si="0"/>
        <v>2875</v>
      </c>
      <c r="O16" s="62">
        <f t="shared" si="1"/>
        <v>287.5</v>
      </c>
      <c r="P16" s="62">
        <f t="shared" si="2"/>
        <v>49.162500000000001</v>
      </c>
      <c r="Q16" s="62">
        <f t="shared" si="3"/>
        <v>14.375</v>
      </c>
      <c r="R16" s="62">
        <f t="shared" si="4"/>
        <v>14.375</v>
      </c>
      <c r="S16" s="43">
        <v>0</v>
      </c>
      <c r="T16" s="43">
        <f t="shared" si="5"/>
        <v>365.41250000000002</v>
      </c>
      <c r="U16" s="43">
        <f t="shared" si="6"/>
        <v>2509.5875000000001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2250</v>
      </c>
      <c r="L17" s="62"/>
      <c r="M17" s="43">
        <v>0</v>
      </c>
      <c r="N17" s="62">
        <f t="shared" si="0"/>
        <v>2250</v>
      </c>
      <c r="O17" s="62">
        <f t="shared" si="1"/>
        <v>225</v>
      </c>
      <c r="P17" s="62">
        <f t="shared" si="2"/>
        <v>38.475000000000001</v>
      </c>
      <c r="Q17" s="62">
        <f t="shared" si="3"/>
        <v>11.25</v>
      </c>
      <c r="R17" s="62">
        <f t="shared" si="4"/>
        <v>11.25</v>
      </c>
      <c r="S17" s="43">
        <v>0</v>
      </c>
      <c r="T17" s="43">
        <f t="shared" si="5"/>
        <v>285.97500000000002</v>
      </c>
      <c r="U17" s="43">
        <f t="shared" si="6"/>
        <v>1964.0250000000001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44958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43">
        <v>0</v>
      </c>
      <c r="N18" s="62">
        <f t="shared" si="0"/>
        <v>2250</v>
      </c>
      <c r="O18" s="62">
        <f t="shared" si="1"/>
        <v>225</v>
      </c>
      <c r="P18" s="62">
        <f t="shared" si="2"/>
        <v>38.475000000000001</v>
      </c>
      <c r="Q18" s="62">
        <f t="shared" si="3"/>
        <v>11.25</v>
      </c>
      <c r="R18" s="62">
        <f t="shared" si="4"/>
        <v>11.25</v>
      </c>
      <c r="S18" s="43">
        <v>0</v>
      </c>
      <c r="T18" s="43">
        <f t="shared" si="5"/>
        <v>285.97500000000002</v>
      </c>
      <c r="U18" s="43">
        <f t="shared" si="6"/>
        <v>1964.0250000000001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62"/>
      <c r="M19" s="43">
        <v>742.5</v>
      </c>
      <c r="N19" s="62">
        <f t="shared" si="0"/>
        <v>2992.5</v>
      </c>
      <c r="O19" s="62">
        <f t="shared" si="1"/>
        <v>299.25</v>
      </c>
      <c r="P19" s="62">
        <f t="shared" si="2"/>
        <v>51.171750000000003</v>
      </c>
      <c r="Q19" s="62">
        <f t="shared" si="3"/>
        <v>14.9625</v>
      </c>
      <c r="R19" s="62">
        <f t="shared" si="4"/>
        <v>14.9625</v>
      </c>
      <c r="S19" s="43">
        <v>0</v>
      </c>
      <c r="T19" s="43">
        <f t="shared" si="5"/>
        <v>380.34674999999993</v>
      </c>
      <c r="U19" s="43">
        <f>+N19-T19</f>
        <v>2612.1532500000003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44958</v>
      </c>
      <c r="H20" s="40">
        <v>5</v>
      </c>
      <c r="J20" s="15">
        <v>30</v>
      </c>
      <c r="K20" s="38">
        <v>2568.44</v>
      </c>
      <c r="L20" s="62"/>
      <c r="M20" s="43">
        <v>0</v>
      </c>
      <c r="N20" s="62">
        <f t="shared" si="0"/>
        <v>2568.44</v>
      </c>
      <c r="O20" s="62">
        <f t="shared" si="1"/>
        <v>256.84399999999999</v>
      </c>
      <c r="P20" s="62">
        <f t="shared" si="2"/>
        <v>43.920324000000001</v>
      </c>
      <c r="Q20" s="62">
        <f t="shared" si="3"/>
        <v>12.8422</v>
      </c>
      <c r="R20" s="62">
        <f t="shared" si="4"/>
        <v>12.8422</v>
      </c>
      <c r="S20" s="43">
        <v>0</v>
      </c>
      <c r="T20" s="43">
        <f t="shared" si="5"/>
        <v>326.44872399999997</v>
      </c>
      <c r="U20" s="43">
        <f t="shared" si="6"/>
        <v>2241.9912760000002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44958</v>
      </c>
      <c r="H21" s="40">
        <v>4</v>
      </c>
      <c r="J21" s="15">
        <v>30</v>
      </c>
      <c r="K21" s="38">
        <v>2250</v>
      </c>
      <c r="L21" s="62"/>
      <c r="M21" s="43">
        <v>0</v>
      </c>
      <c r="N21" s="62">
        <f t="shared" si="0"/>
        <v>2250</v>
      </c>
      <c r="O21" s="62">
        <f t="shared" si="1"/>
        <v>225</v>
      </c>
      <c r="P21" s="62">
        <f t="shared" si="2"/>
        <v>38.475000000000001</v>
      </c>
      <c r="Q21" s="62">
        <f t="shared" si="3"/>
        <v>11.25</v>
      </c>
      <c r="R21" s="62">
        <f t="shared" si="4"/>
        <v>11.25</v>
      </c>
      <c r="S21" s="43">
        <v>0</v>
      </c>
      <c r="T21" s="43">
        <f t="shared" si="5"/>
        <v>285.97500000000002</v>
      </c>
      <c r="U21" s="43">
        <f t="shared" si="6"/>
        <v>1964.0250000000001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44958</v>
      </c>
      <c r="H22" s="40">
        <v>6</v>
      </c>
      <c r="J22" s="15">
        <v>30</v>
      </c>
      <c r="K22" s="38">
        <v>2359.9499999999998</v>
      </c>
      <c r="L22" s="62"/>
      <c r="M22" s="43">
        <v>0</v>
      </c>
      <c r="N22" s="62">
        <f t="shared" si="0"/>
        <v>2359.9499999999998</v>
      </c>
      <c r="O22" s="62">
        <f t="shared" si="1"/>
        <v>235.995</v>
      </c>
      <c r="P22" s="62">
        <f t="shared" si="2"/>
        <v>40.355145</v>
      </c>
      <c r="Q22" s="62">
        <f t="shared" si="3"/>
        <v>11.79975</v>
      </c>
      <c r="R22" s="62">
        <f t="shared" si="4"/>
        <v>11.79975</v>
      </c>
      <c r="S22" s="43">
        <v>0</v>
      </c>
      <c r="T22" s="43">
        <f t="shared" si="5"/>
        <v>299.94964500000003</v>
      </c>
      <c r="U22" s="43">
        <f t="shared" si="6"/>
        <v>2060.0003549999997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181</v>
      </c>
      <c r="D23" s="20"/>
      <c r="E23" s="22" t="s">
        <v>40</v>
      </c>
      <c r="F23" s="41" t="s">
        <v>40</v>
      </c>
      <c r="G23" s="30">
        <v>44958</v>
      </c>
      <c r="H23" s="63">
        <v>5</v>
      </c>
      <c r="I23" s="64"/>
      <c r="J23" s="14">
        <v>30</v>
      </c>
      <c r="K23" s="62">
        <v>2250</v>
      </c>
      <c r="L23" s="62"/>
      <c r="M23" s="43">
        <v>0</v>
      </c>
      <c r="N23" s="62">
        <f t="shared" si="0"/>
        <v>2250</v>
      </c>
      <c r="O23" s="62">
        <f t="shared" si="1"/>
        <v>225</v>
      </c>
      <c r="P23" s="62">
        <f t="shared" si="2"/>
        <v>38.475000000000001</v>
      </c>
      <c r="Q23" s="62">
        <f t="shared" si="3"/>
        <v>11.25</v>
      </c>
      <c r="R23" s="62">
        <f t="shared" si="4"/>
        <v>11.25</v>
      </c>
      <c r="S23" s="43">
        <v>0</v>
      </c>
      <c r="T23" s="43">
        <f t="shared" si="5"/>
        <v>285.97500000000002</v>
      </c>
      <c r="U23" s="43">
        <f t="shared" si="6"/>
        <v>1964.0250000000001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44958</v>
      </c>
      <c r="H24" s="40">
        <v>4</v>
      </c>
      <c r="J24" s="15">
        <v>30</v>
      </c>
      <c r="K24" s="38">
        <v>2250</v>
      </c>
      <c r="L24" s="62"/>
      <c r="M24" s="43">
        <v>0</v>
      </c>
      <c r="N24" s="62">
        <f t="shared" si="0"/>
        <v>2250</v>
      </c>
      <c r="O24" s="62">
        <f t="shared" si="1"/>
        <v>225</v>
      </c>
      <c r="P24" s="62">
        <f t="shared" si="2"/>
        <v>38.475000000000001</v>
      </c>
      <c r="Q24" s="62">
        <f t="shared" si="3"/>
        <v>11.25</v>
      </c>
      <c r="R24" s="62">
        <f t="shared" si="4"/>
        <v>11.25</v>
      </c>
      <c r="S24" s="43">
        <v>0</v>
      </c>
      <c r="T24" s="43">
        <f t="shared" si="5"/>
        <v>285.97500000000002</v>
      </c>
      <c r="U24" s="43">
        <f t="shared" si="6"/>
        <v>1964.0250000000001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2340.59</v>
      </c>
      <c r="L25" s="62"/>
      <c r="M25" s="43">
        <v>0</v>
      </c>
      <c r="N25" s="62">
        <f t="shared" si="0"/>
        <v>2340.59</v>
      </c>
      <c r="O25" s="62">
        <f t="shared" si="1"/>
        <v>234.05900000000003</v>
      </c>
      <c r="P25" s="62">
        <f t="shared" si="2"/>
        <v>40.024089000000004</v>
      </c>
      <c r="Q25" s="62">
        <f t="shared" si="3"/>
        <v>11.702950000000001</v>
      </c>
      <c r="R25" s="62">
        <f t="shared" si="4"/>
        <v>11.702950000000001</v>
      </c>
      <c r="S25" s="43">
        <v>0</v>
      </c>
      <c r="T25" s="43">
        <f t="shared" si="5"/>
        <v>297.488989</v>
      </c>
      <c r="U25" s="43">
        <f t="shared" si="6"/>
        <v>2043.1010110000002</v>
      </c>
      <c r="V25" s="44"/>
      <c r="X25" s="45"/>
    </row>
    <row r="26" spans="1:24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44958</v>
      </c>
      <c r="H26" s="40">
        <v>5</v>
      </c>
      <c r="J26" s="15">
        <v>30</v>
      </c>
      <c r="K26" s="38">
        <v>2400</v>
      </c>
      <c r="L26" s="62"/>
      <c r="M26" s="43">
        <v>0</v>
      </c>
      <c r="N26" s="62">
        <f t="shared" si="0"/>
        <v>2400</v>
      </c>
      <c r="O26" s="62">
        <f t="shared" si="1"/>
        <v>240</v>
      </c>
      <c r="P26" s="62">
        <f t="shared" si="2"/>
        <v>41.04</v>
      </c>
      <c r="Q26" s="62">
        <f t="shared" si="3"/>
        <v>12</v>
      </c>
      <c r="R26" s="62">
        <f t="shared" si="4"/>
        <v>12</v>
      </c>
      <c r="S26" s="43">
        <v>0</v>
      </c>
      <c r="T26" s="43">
        <f t="shared" si="5"/>
        <v>305.04000000000002</v>
      </c>
      <c r="U26" s="43">
        <f t="shared" si="6"/>
        <v>2094.96</v>
      </c>
      <c r="V26" s="44"/>
      <c r="X26" s="45"/>
    </row>
    <row r="27" spans="1:24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44958</v>
      </c>
      <c r="H27" s="40">
        <v>6</v>
      </c>
      <c r="J27" s="15">
        <v>30</v>
      </c>
      <c r="K27" s="38">
        <v>2250</v>
      </c>
      <c r="L27" s="62"/>
      <c r="M27" s="43">
        <v>0</v>
      </c>
      <c r="N27" s="62">
        <f>K27+M27</f>
        <v>2250</v>
      </c>
      <c r="O27" s="62">
        <f>+N27*0.1</f>
        <v>225</v>
      </c>
      <c r="P27" s="62">
        <f>+N27*0.0171</f>
        <v>38.475000000000001</v>
      </c>
      <c r="Q27" s="62">
        <f>+N27*0.005</f>
        <v>11.25</v>
      </c>
      <c r="R27" s="62">
        <f>N27*0.5%</f>
        <v>11.25</v>
      </c>
      <c r="S27" s="43">
        <v>0</v>
      </c>
      <c r="T27" s="43">
        <f>+O27+P27+Q27+R27+S27</f>
        <v>285.97500000000002</v>
      </c>
      <c r="U27" s="43">
        <f>+N27-T27</f>
        <v>1964.0250000000001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44958</v>
      </c>
      <c r="H28" s="74">
        <v>5</v>
      </c>
      <c r="J28" s="75">
        <v>30</v>
      </c>
      <c r="K28" s="38">
        <v>2464.79</v>
      </c>
      <c r="L28" s="62"/>
      <c r="M28" s="43">
        <v>0</v>
      </c>
      <c r="N28" s="62">
        <f t="shared" si="0"/>
        <v>2464.79</v>
      </c>
      <c r="O28" s="62">
        <f t="shared" si="1"/>
        <v>246.47900000000001</v>
      </c>
      <c r="P28" s="62">
        <f t="shared" si="2"/>
        <v>42.147908999999999</v>
      </c>
      <c r="Q28" s="62">
        <f t="shared" si="3"/>
        <v>12.32395</v>
      </c>
      <c r="R28" s="62">
        <f t="shared" si="4"/>
        <v>12.32395</v>
      </c>
      <c r="S28" s="43">
        <v>0</v>
      </c>
      <c r="T28" s="43">
        <f t="shared" si="5"/>
        <v>313.27480900000006</v>
      </c>
      <c r="U28" s="43">
        <f t="shared" si="6"/>
        <v>2151.515191</v>
      </c>
      <c r="V28" s="44"/>
      <c r="X28" s="45"/>
    </row>
    <row r="29" spans="1:24" ht="22.5" customHeight="1">
      <c r="A29" s="57">
        <v>19</v>
      </c>
      <c r="B29" s="41" t="s">
        <v>183</v>
      </c>
      <c r="C29" s="41" t="s">
        <v>184</v>
      </c>
      <c r="D29" s="42"/>
      <c r="E29" s="14"/>
      <c r="F29" s="123" t="s">
        <v>185</v>
      </c>
      <c r="G29" s="30">
        <v>44958</v>
      </c>
      <c r="H29" s="122">
        <v>6</v>
      </c>
      <c r="I29" s="15">
        <v>30</v>
      </c>
      <c r="J29" s="75">
        <v>30</v>
      </c>
      <c r="K29" s="68">
        <v>3090</v>
      </c>
      <c r="L29" s="69"/>
      <c r="M29" s="43">
        <v>0</v>
      </c>
      <c r="N29" s="62">
        <f t="shared" si="0"/>
        <v>3090</v>
      </c>
      <c r="O29" s="62">
        <f t="shared" si="1"/>
        <v>309</v>
      </c>
      <c r="P29" s="62">
        <f t="shared" si="2"/>
        <v>52.838999999999999</v>
      </c>
      <c r="Q29" s="62">
        <f t="shared" si="3"/>
        <v>15.450000000000001</v>
      </c>
      <c r="R29" s="62">
        <f t="shared" si="4"/>
        <v>15.450000000000001</v>
      </c>
      <c r="S29" s="43">
        <v>0</v>
      </c>
      <c r="T29" s="43">
        <f t="shared" si="5"/>
        <v>392.73899999999998</v>
      </c>
      <c r="U29" s="43">
        <f t="shared" si="6"/>
        <v>2697.261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30">
        <v>44958</v>
      </c>
      <c r="H30" s="40">
        <v>5</v>
      </c>
      <c r="I30" s="76"/>
      <c r="J30" s="75">
        <v>30</v>
      </c>
      <c r="K30" s="68">
        <v>2250</v>
      </c>
      <c r="L30" s="69"/>
      <c r="M30" s="43">
        <v>0</v>
      </c>
      <c r="N30" s="62">
        <f t="shared" si="0"/>
        <v>2250</v>
      </c>
      <c r="O30" s="62">
        <f t="shared" si="1"/>
        <v>225</v>
      </c>
      <c r="P30" s="62">
        <f t="shared" si="2"/>
        <v>38.475000000000001</v>
      </c>
      <c r="Q30" s="62">
        <f t="shared" si="3"/>
        <v>11.25</v>
      </c>
      <c r="R30" s="62">
        <f t="shared" si="4"/>
        <v>11.25</v>
      </c>
      <c r="S30" s="43">
        <v>0</v>
      </c>
      <c r="T30" s="43">
        <f t="shared" si="5"/>
        <v>285.97500000000002</v>
      </c>
      <c r="U30" s="43">
        <f t="shared" si="6"/>
        <v>1964.0250000000001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44958</v>
      </c>
      <c r="H31" s="40">
        <v>5</v>
      </c>
      <c r="I31" s="76"/>
      <c r="J31" s="75">
        <v>30</v>
      </c>
      <c r="K31" s="68">
        <v>2250</v>
      </c>
      <c r="L31" s="69"/>
      <c r="M31" s="43">
        <v>0</v>
      </c>
      <c r="N31" s="62">
        <f t="shared" si="0"/>
        <v>2250</v>
      </c>
      <c r="O31" s="62">
        <f t="shared" si="1"/>
        <v>225</v>
      </c>
      <c r="P31" s="62">
        <f t="shared" si="2"/>
        <v>38.475000000000001</v>
      </c>
      <c r="Q31" s="62">
        <f t="shared" si="3"/>
        <v>11.25</v>
      </c>
      <c r="R31" s="62">
        <f t="shared" si="4"/>
        <v>11.25</v>
      </c>
      <c r="S31" s="43">
        <v>0</v>
      </c>
      <c r="T31" s="43">
        <f t="shared" si="5"/>
        <v>285.97500000000002</v>
      </c>
      <c r="U31" s="43">
        <f t="shared" si="6"/>
        <v>1964.0250000000001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53518.99</v>
      </c>
      <c r="L32" s="32"/>
      <c r="M32" s="32">
        <f t="shared" ref="M32" si="7">SUM(M13:M28)</f>
        <v>742.5</v>
      </c>
      <c r="N32" s="32">
        <f>SUM(N11:N31)</f>
        <v>54261.49</v>
      </c>
      <c r="O32" s="32">
        <f>SUM(O11:O31)</f>
        <v>5426.1490000000003</v>
      </c>
      <c r="P32" s="32">
        <f>SUM(P11:P31)</f>
        <v>927.87147900000014</v>
      </c>
      <c r="Q32" s="32">
        <f>SUM(Q11:Q31)</f>
        <v>271.30745000000002</v>
      </c>
      <c r="R32" s="32">
        <f>SUM(R11:R31)</f>
        <v>271.30745000000002</v>
      </c>
      <c r="S32" s="32">
        <f>SUM(S13:S31)</f>
        <v>0</v>
      </c>
      <c r="T32" s="32">
        <f>SUM(T11:T31)</f>
        <v>6896.6353790000021</v>
      </c>
      <c r="U32" s="32">
        <f>SUM(U11:U31)</f>
        <v>47364.854621000006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6896.6353790000021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186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Y36"/>
  <sheetViews>
    <sheetView topLeftCell="A26" workbookViewId="0">
      <selection activeCell="T3" sqref="T3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7" customWidth="1"/>
    <col min="13" max="13" width="9" customWidth="1"/>
    <col min="14" max="14" width="8.42578125" customWidth="1"/>
    <col min="15" max="16" width="7.28515625" customWidth="1"/>
    <col min="17" max="17" width="6.7109375" customWidth="1"/>
    <col min="18" max="18" width="6.140625" customWidth="1"/>
    <col min="19" max="19" width="9" customWidth="1"/>
    <col min="20" max="20" width="9.28515625" customWidth="1"/>
    <col min="21" max="21" width="17.28515625" customWidth="1"/>
    <col min="22" max="23" width="11.42578125" style="18" customWidth="1"/>
  </cols>
  <sheetData>
    <row r="1" spans="1:23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1"/>
      <c r="M1" s="1"/>
      <c r="N1" s="1"/>
      <c r="O1" s="1"/>
      <c r="P1" s="1"/>
      <c r="Q1" s="1"/>
      <c r="R1" s="1"/>
      <c r="S1" s="51"/>
      <c r="T1" s="1"/>
      <c r="U1" s="51" t="s">
        <v>33</v>
      </c>
      <c r="V1" s="51"/>
    </row>
    <row r="2" spans="1:23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1"/>
      <c r="M2" s="1"/>
      <c r="N2" s="1"/>
      <c r="O2" s="1"/>
      <c r="P2" s="1"/>
      <c r="Q2" s="1"/>
      <c r="R2" s="1"/>
      <c r="S2" s="51"/>
      <c r="T2" s="51"/>
      <c r="U2" s="51"/>
      <c r="V2" s="17"/>
    </row>
    <row r="3" spans="1:23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1"/>
      <c r="M3" s="1"/>
      <c r="N3" s="1"/>
      <c r="O3" s="1"/>
      <c r="P3" s="1"/>
      <c r="Q3" s="1"/>
      <c r="R3" s="1"/>
      <c r="S3" s="2"/>
      <c r="T3" s="1"/>
      <c r="U3" s="1"/>
      <c r="V3" s="17"/>
    </row>
    <row r="4" spans="1:23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7"/>
      <c r="W4" s="27"/>
    </row>
    <row r="5" spans="1:23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7"/>
      <c r="W5" s="27"/>
    </row>
    <row r="6" spans="1:23" s="26" customFormat="1" ht="19.5" customHeight="1">
      <c r="A6" s="237" t="s">
        <v>188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7"/>
      <c r="W6" s="27"/>
    </row>
    <row r="7" spans="1:23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6"/>
      <c r="M7" s="6"/>
      <c r="N7" s="4"/>
      <c r="O7" s="4"/>
      <c r="P7" s="4"/>
      <c r="Q7" s="4"/>
      <c r="R7" s="4"/>
      <c r="S7" s="4"/>
      <c r="V7" s="7">
        <v>42399</v>
      </c>
      <c r="W7" s="8">
        <v>1656</v>
      </c>
    </row>
    <row r="8" spans="1:23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34" t="s">
        <v>11</v>
      </c>
      <c r="M8" s="234" t="s">
        <v>12</v>
      </c>
      <c r="N8" s="231" t="s">
        <v>13</v>
      </c>
      <c r="O8" s="232"/>
      <c r="P8" s="232"/>
      <c r="Q8" s="232"/>
      <c r="R8" s="233"/>
      <c r="S8" s="234" t="s">
        <v>75</v>
      </c>
      <c r="T8" s="234" t="s">
        <v>27</v>
      </c>
      <c r="U8" s="234" t="s">
        <v>14</v>
      </c>
    </row>
    <row r="9" spans="1:23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235"/>
      <c r="M9" s="235"/>
      <c r="N9" s="25" t="s">
        <v>26</v>
      </c>
      <c r="O9" s="24" t="s">
        <v>25</v>
      </c>
      <c r="P9" s="24" t="s">
        <v>23</v>
      </c>
      <c r="Q9" s="24" t="s">
        <v>24</v>
      </c>
      <c r="R9" s="25" t="s">
        <v>16</v>
      </c>
      <c r="S9" s="235"/>
      <c r="T9" s="235"/>
      <c r="U9" s="235"/>
    </row>
    <row r="10" spans="1:23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36"/>
      <c r="M10" s="236"/>
      <c r="N10" s="11">
        <v>0.1</v>
      </c>
      <c r="O10" s="10">
        <v>1.7100000000000001E-2</v>
      </c>
      <c r="P10" s="12">
        <v>5.0000000000000001E-3</v>
      </c>
      <c r="Q10" s="13">
        <v>5.0000000000000001E-3</v>
      </c>
      <c r="R10" s="11">
        <v>0.13</v>
      </c>
      <c r="S10" s="236"/>
      <c r="T10" s="236"/>
      <c r="U10" s="236"/>
    </row>
    <row r="11" spans="1:23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2250</v>
      </c>
      <c r="L11" s="43">
        <v>0</v>
      </c>
      <c r="M11" s="62">
        <f t="shared" ref="M11:M31" si="0">K11+L11</f>
        <v>2250</v>
      </c>
      <c r="N11" s="62">
        <f t="shared" ref="N11:N31" si="1">+M11*0.1</f>
        <v>225</v>
      </c>
      <c r="O11" s="62">
        <f t="shared" ref="O11:O31" si="2">+M11*0.0171</f>
        <v>38.475000000000001</v>
      </c>
      <c r="P11" s="62">
        <f t="shared" ref="P11:P31" si="3">+M11*0.005</f>
        <v>11.25</v>
      </c>
      <c r="Q11" s="62">
        <f t="shared" ref="Q11:Q31" si="4">M11*0.5%</f>
        <v>11.25</v>
      </c>
      <c r="R11" s="43">
        <v>0</v>
      </c>
      <c r="S11" s="43">
        <f t="shared" ref="S11:S31" si="5">+N11+O11+P11+Q11+R11</f>
        <v>285.97500000000002</v>
      </c>
      <c r="T11" s="43">
        <f t="shared" ref="T11:T31" si="6">+M11-S11</f>
        <v>1964.0250000000001</v>
      </c>
      <c r="U11" s="55"/>
    </row>
    <row r="12" spans="1:23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2400</v>
      </c>
      <c r="L12" s="43">
        <v>0</v>
      </c>
      <c r="M12" s="62">
        <f t="shared" si="0"/>
        <v>2400</v>
      </c>
      <c r="N12" s="62">
        <f t="shared" si="1"/>
        <v>240</v>
      </c>
      <c r="O12" s="62">
        <f t="shared" si="2"/>
        <v>41.04</v>
      </c>
      <c r="P12" s="62">
        <f t="shared" si="3"/>
        <v>12</v>
      </c>
      <c r="Q12" s="62">
        <f t="shared" si="4"/>
        <v>12</v>
      </c>
      <c r="R12" s="43">
        <v>0</v>
      </c>
      <c r="S12" s="43">
        <f t="shared" si="5"/>
        <v>305.04000000000002</v>
      </c>
      <c r="T12" s="43">
        <f t="shared" si="6"/>
        <v>2094.96</v>
      </c>
      <c r="U12" s="55"/>
    </row>
    <row r="13" spans="1:23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3917.36</v>
      </c>
      <c r="L13" s="43">
        <v>0</v>
      </c>
      <c r="M13" s="62">
        <f t="shared" si="0"/>
        <v>3917.36</v>
      </c>
      <c r="N13" s="62">
        <f t="shared" si="1"/>
        <v>391.73600000000005</v>
      </c>
      <c r="O13" s="62">
        <f t="shared" si="2"/>
        <v>66.986856000000003</v>
      </c>
      <c r="P13" s="62">
        <f t="shared" si="3"/>
        <v>19.5868</v>
      </c>
      <c r="Q13" s="62">
        <f t="shared" si="4"/>
        <v>19.5868</v>
      </c>
      <c r="R13" s="43">
        <v>0</v>
      </c>
      <c r="S13" s="43">
        <f t="shared" si="5"/>
        <v>497.896456</v>
      </c>
      <c r="T13" s="43">
        <f t="shared" si="6"/>
        <v>3419.4635440000002</v>
      </c>
      <c r="U13" s="44"/>
      <c r="W13" s="45"/>
    </row>
    <row r="14" spans="1:23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3899.29</v>
      </c>
      <c r="L14" s="43">
        <v>0</v>
      </c>
      <c r="M14" s="62">
        <f t="shared" si="0"/>
        <v>3899.29</v>
      </c>
      <c r="N14" s="62">
        <f t="shared" si="1"/>
        <v>389.92900000000003</v>
      </c>
      <c r="O14" s="62">
        <f t="shared" si="2"/>
        <v>66.677858999999998</v>
      </c>
      <c r="P14" s="62">
        <f t="shared" si="3"/>
        <v>19.496449999999999</v>
      </c>
      <c r="Q14" s="62">
        <f t="shared" si="4"/>
        <v>19.496449999999999</v>
      </c>
      <c r="R14" s="43">
        <v>0</v>
      </c>
      <c r="S14" s="43">
        <f t="shared" si="5"/>
        <v>495.59975900000001</v>
      </c>
      <c r="T14" s="43">
        <f t="shared" si="6"/>
        <v>3403.6902409999998</v>
      </c>
      <c r="U14" s="44"/>
      <c r="W14" s="45"/>
    </row>
    <row r="15" spans="1:23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2703.57</v>
      </c>
      <c r="L15" s="43">
        <v>0</v>
      </c>
      <c r="M15" s="62">
        <f t="shared" si="0"/>
        <v>2703.57</v>
      </c>
      <c r="N15" s="62">
        <f t="shared" si="1"/>
        <v>270.35700000000003</v>
      </c>
      <c r="O15" s="62">
        <f t="shared" si="2"/>
        <v>46.231047000000004</v>
      </c>
      <c r="P15" s="62">
        <f t="shared" si="3"/>
        <v>13.517850000000001</v>
      </c>
      <c r="Q15" s="62">
        <f t="shared" si="4"/>
        <v>13.517850000000001</v>
      </c>
      <c r="R15" s="43">
        <v>0</v>
      </c>
      <c r="S15" s="43">
        <f t="shared" si="5"/>
        <v>343.62374700000004</v>
      </c>
      <c r="T15" s="43">
        <f t="shared" si="6"/>
        <v>2359.9462530000001</v>
      </c>
      <c r="U15" s="44"/>
      <c r="W15" s="45"/>
    </row>
    <row r="16" spans="1:23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2875</v>
      </c>
      <c r="L16" s="43">
        <v>0</v>
      </c>
      <c r="M16" s="62">
        <f t="shared" si="0"/>
        <v>2875</v>
      </c>
      <c r="N16" s="62">
        <f t="shared" si="1"/>
        <v>287.5</v>
      </c>
      <c r="O16" s="62">
        <f t="shared" si="2"/>
        <v>49.162500000000001</v>
      </c>
      <c r="P16" s="62">
        <f t="shared" si="3"/>
        <v>14.375</v>
      </c>
      <c r="Q16" s="62">
        <f t="shared" si="4"/>
        <v>14.375</v>
      </c>
      <c r="R16" s="43">
        <v>0</v>
      </c>
      <c r="S16" s="43">
        <f t="shared" si="5"/>
        <v>365.41250000000002</v>
      </c>
      <c r="T16" s="43">
        <f t="shared" si="6"/>
        <v>2509.5875000000001</v>
      </c>
      <c r="U16" s="44"/>
      <c r="W16" s="45"/>
    </row>
    <row r="17" spans="1:23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2250</v>
      </c>
      <c r="L17" s="43">
        <v>0</v>
      </c>
      <c r="M17" s="62">
        <f t="shared" si="0"/>
        <v>2250</v>
      </c>
      <c r="N17" s="62">
        <f t="shared" si="1"/>
        <v>225</v>
      </c>
      <c r="O17" s="62">
        <f t="shared" si="2"/>
        <v>38.475000000000001</v>
      </c>
      <c r="P17" s="62">
        <f t="shared" si="3"/>
        <v>11.25</v>
      </c>
      <c r="Q17" s="62">
        <f t="shared" si="4"/>
        <v>11.25</v>
      </c>
      <c r="R17" s="43">
        <v>0</v>
      </c>
      <c r="S17" s="43">
        <f t="shared" si="5"/>
        <v>285.97500000000002</v>
      </c>
      <c r="T17" s="43">
        <f t="shared" si="6"/>
        <v>1964.0250000000001</v>
      </c>
      <c r="U17" s="44"/>
      <c r="W17" s="45"/>
    </row>
    <row r="18" spans="1:23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44958</v>
      </c>
      <c r="H18" s="14">
        <v>5</v>
      </c>
      <c r="I18" s="43">
        <v>2122</v>
      </c>
      <c r="J18" s="14">
        <v>30</v>
      </c>
      <c r="K18" s="62">
        <v>2250</v>
      </c>
      <c r="L18" s="43">
        <v>0</v>
      </c>
      <c r="M18" s="62">
        <f t="shared" si="0"/>
        <v>2250</v>
      </c>
      <c r="N18" s="62">
        <f t="shared" si="1"/>
        <v>225</v>
      </c>
      <c r="O18" s="62">
        <f t="shared" si="2"/>
        <v>38.475000000000001</v>
      </c>
      <c r="P18" s="62">
        <f t="shared" si="3"/>
        <v>11.25</v>
      </c>
      <c r="Q18" s="62">
        <f t="shared" si="4"/>
        <v>11.25</v>
      </c>
      <c r="R18" s="43">
        <v>0</v>
      </c>
      <c r="S18" s="43">
        <f t="shared" si="5"/>
        <v>285.97500000000002</v>
      </c>
      <c r="T18" s="43">
        <f t="shared" si="6"/>
        <v>1964.0250000000001</v>
      </c>
      <c r="U18" s="44"/>
      <c r="W18" s="45"/>
    </row>
    <row r="19" spans="1:23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2250</v>
      </c>
      <c r="L19" s="43">
        <v>742.5</v>
      </c>
      <c r="M19" s="62">
        <f t="shared" si="0"/>
        <v>2992.5</v>
      </c>
      <c r="N19" s="62">
        <f t="shared" si="1"/>
        <v>299.25</v>
      </c>
      <c r="O19" s="62">
        <f t="shared" si="2"/>
        <v>51.171750000000003</v>
      </c>
      <c r="P19" s="62">
        <f t="shared" si="3"/>
        <v>14.9625</v>
      </c>
      <c r="Q19" s="62">
        <f t="shared" si="4"/>
        <v>14.9625</v>
      </c>
      <c r="R19" s="43">
        <v>0</v>
      </c>
      <c r="S19" s="43">
        <f t="shared" si="5"/>
        <v>380.34674999999993</v>
      </c>
      <c r="T19" s="43">
        <f>+M19-S19</f>
        <v>2612.1532500000003</v>
      </c>
      <c r="U19" s="44"/>
      <c r="W19" s="108"/>
    </row>
    <row r="20" spans="1:23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44958</v>
      </c>
      <c r="H20" s="40">
        <v>5</v>
      </c>
      <c r="J20" s="15">
        <v>30</v>
      </c>
      <c r="K20" s="38">
        <v>2568.44</v>
      </c>
      <c r="L20" s="43">
        <v>0</v>
      </c>
      <c r="M20" s="62">
        <f t="shared" si="0"/>
        <v>2568.44</v>
      </c>
      <c r="N20" s="62">
        <f t="shared" si="1"/>
        <v>256.84399999999999</v>
      </c>
      <c r="O20" s="62">
        <f t="shared" si="2"/>
        <v>43.920324000000001</v>
      </c>
      <c r="P20" s="62">
        <f t="shared" si="3"/>
        <v>12.8422</v>
      </c>
      <c r="Q20" s="62">
        <f t="shared" si="4"/>
        <v>12.8422</v>
      </c>
      <c r="R20" s="43">
        <v>0</v>
      </c>
      <c r="S20" s="43">
        <f t="shared" si="5"/>
        <v>326.44872399999997</v>
      </c>
      <c r="T20" s="43">
        <f t="shared" si="6"/>
        <v>2241.9912760000002</v>
      </c>
      <c r="U20" s="44"/>
      <c r="W20" s="45"/>
    </row>
    <row r="21" spans="1:23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44958</v>
      </c>
      <c r="H21" s="40">
        <v>4</v>
      </c>
      <c r="J21" s="15">
        <v>30</v>
      </c>
      <c r="K21" s="38">
        <v>2250</v>
      </c>
      <c r="L21" s="43">
        <v>0</v>
      </c>
      <c r="M21" s="62">
        <f t="shared" si="0"/>
        <v>2250</v>
      </c>
      <c r="N21" s="62">
        <f t="shared" si="1"/>
        <v>225</v>
      </c>
      <c r="O21" s="62">
        <f t="shared" si="2"/>
        <v>38.475000000000001</v>
      </c>
      <c r="P21" s="62">
        <f t="shared" si="3"/>
        <v>11.25</v>
      </c>
      <c r="Q21" s="62">
        <f t="shared" si="4"/>
        <v>11.25</v>
      </c>
      <c r="R21" s="43">
        <v>0</v>
      </c>
      <c r="S21" s="43">
        <f t="shared" si="5"/>
        <v>285.97500000000002</v>
      </c>
      <c r="T21" s="43">
        <f t="shared" si="6"/>
        <v>1964.0250000000001</v>
      </c>
      <c r="U21" s="44"/>
      <c r="W21" s="45"/>
    </row>
    <row r="22" spans="1:23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44958</v>
      </c>
      <c r="H22" s="40">
        <v>6</v>
      </c>
      <c r="J22" s="15">
        <v>30</v>
      </c>
      <c r="K22" s="38">
        <v>2359.9499999999998</v>
      </c>
      <c r="L22" s="43">
        <v>0</v>
      </c>
      <c r="M22" s="62">
        <f t="shared" si="0"/>
        <v>2359.9499999999998</v>
      </c>
      <c r="N22" s="62">
        <f t="shared" si="1"/>
        <v>235.995</v>
      </c>
      <c r="O22" s="62">
        <f t="shared" si="2"/>
        <v>40.355145</v>
      </c>
      <c r="P22" s="62">
        <f t="shared" si="3"/>
        <v>11.79975</v>
      </c>
      <c r="Q22" s="62">
        <f t="shared" si="4"/>
        <v>11.79975</v>
      </c>
      <c r="R22" s="43">
        <v>0</v>
      </c>
      <c r="S22" s="43">
        <f t="shared" si="5"/>
        <v>299.94964500000003</v>
      </c>
      <c r="T22" s="43">
        <f t="shared" si="6"/>
        <v>2060.0003549999997</v>
      </c>
      <c r="U22" s="44"/>
      <c r="W22" s="45"/>
    </row>
    <row r="23" spans="1:23" ht="22.5" customHeight="1">
      <c r="A23" s="57">
        <v>13</v>
      </c>
      <c r="B23" s="21" t="s">
        <v>96</v>
      </c>
      <c r="C23" s="21" t="s">
        <v>181</v>
      </c>
      <c r="D23" s="20"/>
      <c r="E23" s="22" t="s">
        <v>40</v>
      </c>
      <c r="F23" s="41" t="s">
        <v>40</v>
      </c>
      <c r="G23" s="30">
        <v>44958</v>
      </c>
      <c r="H23" s="63">
        <v>5</v>
      </c>
      <c r="I23" s="64"/>
      <c r="J23" s="14">
        <v>30</v>
      </c>
      <c r="K23" s="62">
        <v>2250</v>
      </c>
      <c r="L23" s="43">
        <v>0</v>
      </c>
      <c r="M23" s="62">
        <f t="shared" si="0"/>
        <v>2250</v>
      </c>
      <c r="N23" s="62">
        <f t="shared" si="1"/>
        <v>225</v>
      </c>
      <c r="O23" s="62">
        <f t="shared" si="2"/>
        <v>38.475000000000001</v>
      </c>
      <c r="P23" s="62">
        <f t="shared" si="3"/>
        <v>11.25</v>
      </c>
      <c r="Q23" s="62">
        <f t="shared" si="4"/>
        <v>11.25</v>
      </c>
      <c r="R23" s="43">
        <v>0</v>
      </c>
      <c r="S23" s="43">
        <f t="shared" si="5"/>
        <v>285.97500000000002</v>
      </c>
      <c r="T23" s="43">
        <f t="shared" si="6"/>
        <v>1964.0250000000001</v>
      </c>
      <c r="U23" s="44"/>
      <c r="W23" s="45"/>
    </row>
    <row r="24" spans="1:23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44958</v>
      </c>
      <c r="H24" s="40">
        <v>4</v>
      </c>
      <c r="J24" s="15">
        <v>30</v>
      </c>
      <c r="K24" s="38">
        <v>2250</v>
      </c>
      <c r="L24" s="43">
        <v>0</v>
      </c>
      <c r="M24" s="62">
        <f t="shared" si="0"/>
        <v>2250</v>
      </c>
      <c r="N24" s="62">
        <f t="shared" si="1"/>
        <v>225</v>
      </c>
      <c r="O24" s="62">
        <f t="shared" si="2"/>
        <v>38.475000000000001</v>
      </c>
      <c r="P24" s="62">
        <f t="shared" si="3"/>
        <v>11.25</v>
      </c>
      <c r="Q24" s="62">
        <f t="shared" si="4"/>
        <v>11.25</v>
      </c>
      <c r="R24" s="43">
        <v>0</v>
      </c>
      <c r="S24" s="43">
        <f t="shared" si="5"/>
        <v>285.97500000000002</v>
      </c>
      <c r="T24" s="43">
        <f t="shared" si="6"/>
        <v>1964.0250000000001</v>
      </c>
      <c r="U24" s="44"/>
      <c r="W24" s="45"/>
    </row>
    <row r="25" spans="1:23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2340.59</v>
      </c>
      <c r="L25" s="43">
        <v>0</v>
      </c>
      <c r="M25" s="62">
        <f t="shared" si="0"/>
        <v>2340.59</v>
      </c>
      <c r="N25" s="62">
        <f t="shared" si="1"/>
        <v>234.05900000000003</v>
      </c>
      <c r="O25" s="62">
        <f t="shared" si="2"/>
        <v>40.024089000000004</v>
      </c>
      <c r="P25" s="62">
        <f t="shared" si="3"/>
        <v>11.702950000000001</v>
      </c>
      <c r="Q25" s="62">
        <f t="shared" si="4"/>
        <v>11.702950000000001</v>
      </c>
      <c r="R25" s="43">
        <v>0</v>
      </c>
      <c r="S25" s="43">
        <f t="shared" si="5"/>
        <v>297.488989</v>
      </c>
      <c r="T25" s="43">
        <f t="shared" si="6"/>
        <v>2043.1010110000002</v>
      </c>
      <c r="U25" s="44"/>
      <c r="W25" s="45"/>
    </row>
    <row r="26" spans="1:23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44958</v>
      </c>
      <c r="H26" s="40">
        <v>5</v>
      </c>
      <c r="J26" s="15">
        <v>30</v>
      </c>
      <c r="K26" s="38">
        <v>2400</v>
      </c>
      <c r="L26" s="43">
        <v>0</v>
      </c>
      <c r="M26" s="62">
        <f t="shared" si="0"/>
        <v>2400</v>
      </c>
      <c r="N26" s="62">
        <f t="shared" si="1"/>
        <v>240</v>
      </c>
      <c r="O26" s="62">
        <f t="shared" si="2"/>
        <v>41.04</v>
      </c>
      <c r="P26" s="62">
        <f t="shared" si="3"/>
        <v>12</v>
      </c>
      <c r="Q26" s="62">
        <f t="shared" si="4"/>
        <v>12</v>
      </c>
      <c r="R26" s="43">
        <v>0</v>
      </c>
      <c r="S26" s="43">
        <f t="shared" si="5"/>
        <v>305.04000000000002</v>
      </c>
      <c r="T26" s="43">
        <f t="shared" si="6"/>
        <v>2094.96</v>
      </c>
      <c r="U26" s="44"/>
      <c r="W26" s="45"/>
    </row>
    <row r="27" spans="1:23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44958</v>
      </c>
      <c r="H27" s="40">
        <v>6</v>
      </c>
      <c r="J27" s="15">
        <v>30</v>
      </c>
      <c r="K27" s="38">
        <v>2250</v>
      </c>
      <c r="L27" s="43">
        <v>0</v>
      </c>
      <c r="M27" s="62">
        <f t="shared" si="0"/>
        <v>2250</v>
      </c>
      <c r="N27" s="62">
        <f>+M27*0.1</f>
        <v>225</v>
      </c>
      <c r="O27" s="62">
        <f>+M27*0.0171</f>
        <v>38.475000000000001</v>
      </c>
      <c r="P27" s="62">
        <f>+M27*0.005</f>
        <v>11.25</v>
      </c>
      <c r="Q27" s="62">
        <f>M27*0.5%</f>
        <v>11.25</v>
      </c>
      <c r="R27" s="43">
        <v>0</v>
      </c>
      <c r="S27" s="43">
        <f>+N27+O27+P27+Q27+R27</f>
        <v>285.97500000000002</v>
      </c>
      <c r="T27" s="43">
        <f>+M27-S27</f>
        <v>1964.0250000000001</v>
      </c>
      <c r="U27" s="44"/>
      <c r="W27" s="45"/>
    </row>
    <row r="28" spans="1:23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44958</v>
      </c>
      <c r="H28" s="74">
        <v>5</v>
      </c>
      <c r="J28" s="75">
        <v>30</v>
      </c>
      <c r="K28" s="38">
        <v>2464.79</v>
      </c>
      <c r="L28" s="43">
        <v>0</v>
      </c>
      <c r="M28" s="62">
        <f t="shared" si="0"/>
        <v>2464.79</v>
      </c>
      <c r="N28" s="62">
        <f t="shared" si="1"/>
        <v>246.47900000000001</v>
      </c>
      <c r="O28" s="62">
        <f t="shared" si="2"/>
        <v>42.147908999999999</v>
      </c>
      <c r="P28" s="62">
        <f t="shared" si="3"/>
        <v>12.32395</v>
      </c>
      <c r="Q28" s="62">
        <f t="shared" si="4"/>
        <v>12.32395</v>
      </c>
      <c r="R28" s="43">
        <v>0</v>
      </c>
      <c r="S28" s="43">
        <f t="shared" si="5"/>
        <v>313.27480900000006</v>
      </c>
      <c r="T28" s="43">
        <f t="shared" si="6"/>
        <v>2151.515191</v>
      </c>
      <c r="U28" s="44"/>
      <c r="W28" s="45"/>
    </row>
    <row r="29" spans="1:23" ht="22.5" customHeight="1">
      <c r="A29" s="57">
        <v>19</v>
      </c>
      <c r="B29" s="41" t="s">
        <v>183</v>
      </c>
      <c r="C29" s="41" t="s">
        <v>184</v>
      </c>
      <c r="D29" s="42"/>
      <c r="E29" s="14"/>
      <c r="F29" s="123" t="s">
        <v>185</v>
      </c>
      <c r="G29" s="30">
        <v>44958</v>
      </c>
      <c r="H29" s="122">
        <v>6</v>
      </c>
      <c r="I29" s="15">
        <v>30</v>
      </c>
      <c r="J29" s="75">
        <v>30</v>
      </c>
      <c r="K29" s="68">
        <v>3090</v>
      </c>
      <c r="L29" s="43">
        <v>0</v>
      </c>
      <c r="M29" s="62">
        <f t="shared" si="0"/>
        <v>3090</v>
      </c>
      <c r="N29" s="62">
        <f t="shared" si="1"/>
        <v>309</v>
      </c>
      <c r="O29" s="62">
        <f t="shared" si="2"/>
        <v>52.838999999999999</v>
      </c>
      <c r="P29" s="62">
        <f t="shared" si="3"/>
        <v>15.450000000000001</v>
      </c>
      <c r="Q29" s="62">
        <f t="shared" si="4"/>
        <v>15.450000000000001</v>
      </c>
      <c r="R29" s="43">
        <v>0</v>
      </c>
      <c r="S29" s="43">
        <f t="shared" si="5"/>
        <v>392.73899999999998</v>
      </c>
      <c r="T29" s="43">
        <f t="shared" si="6"/>
        <v>2697.261</v>
      </c>
      <c r="U29" s="44"/>
      <c r="W29" s="45"/>
    </row>
    <row r="30" spans="1:23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30">
        <v>44958</v>
      </c>
      <c r="H30" s="40">
        <v>5</v>
      </c>
      <c r="I30" s="76"/>
      <c r="J30" s="75">
        <v>30</v>
      </c>
      <c r="K30" s="68">
        <v>2250</v>
      </c>
      <c r="L30" s="43">
        <v>0</v>
      </c>
      <c r="M30" s="62">
        <f t="shared" si="0"/>
        <v>2250</v>
      </c>
      <c r="N30" s="62">
        <f t="shared" si="1"/>
        <v>225</v>
      </c>
      <c r="O30" s="62">
        <f t="shared" si="2"/>
        <v>38.475000000000001</v>
      </c>
      <c r="P30" s="62">
        <f t="shared" si="3"/>
        <v>11.25</v>
      </c>
      <c r="Q30" s="62">
        <f t="shared" si="4"/>
        <v>11.25</v>
      </c>
      <c r="R30" s="43">
        <v>0</v>
      </c>
      <c r="S30" s="43">
        <f t="shared" si="5"/>
        <v>285.97500000000002</v>
      </c>
      <c r="T30" s="43">
        <f t="shared" si="6"/>
        <v>1964.0250000000001</v>
      </c>
      <c r="U30" s="44"/>
      <c r="W30" s="45"/>
    </row>
    <row r="31" spans="1:23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44958</v>
      </c>
      <c r="H31" s="40">
        <v>5</v>
      </c>
      <c r="I31" s="76"/>
      <c r="J31" s="75">
        <v>30</v>
      </c>
      <c r="K31" s="68">
        <v>2250</v>
      </c>
      <c r="L31" s="43">
        <v>0</v>
      </c>
      <c r="M31" s="62">
        <f t="shared" si="0"/>
        <v>2250</v>
      </c>
      <c r="N31" s="62">
        <f t="shared" si="1"/>
        <v>225</v>
      </c>
      <c r="O31" s="62">
        <f t="shared" si="2"/>
        <v>38.475000000000001</v>
      </c>
      <c r="P31" s="62">
        <f t="shared" si="3"/>
        <v>11.25</v>
      </c>
      <c r="Q31" s="62">
        <f t="shared" si="4"/>
        <v>11.25</v>
      </c>
      <c r="R31" s="43">
        <v>0</v>
      </c>
      <c r="S31" s="43">
        <f t="shared" si="5"/>
        <v>285.97500000000002</v>
      </c>
      <c r="T31" s="43">
        <f t="shared" si="6"/>
        <v>1964.0250000000001</v>
      </c>
      <c r="U31" s="44"/>
      <c r="W31" s="45"/>
    </row>
    <row r="32" spans="1:23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53518.99</v>
      </c>
      <c r="L32" s="32">
        <f t="shared" ref="L32" si="7">SUM(L13:L28)</f>
        <v>742.5</v>
      </c>
      <c r="M32" s="32">
        <f>SUM(M11:M31)</f>
        <v>54261.49</v>
      </c>
      <c r="N32" s="32">
        <f>SUM(N11:N31)</f>
        <v>5426.1490000000003</v>
      </c>
      <c r="O32" s="32">
        <f>SUM(O11:O31)</f>
        <v>927.87147900000014</v>
      </c>
      <c r="P32" s="32">
        <f>SUM(P11:P31)</f>
        <v>271.30745000000002</v>
      </c>
      <c r="Q32" s="32">
        <f>SUM(Q11:Q31)</f>
        <v>271.30745000000002</v>
      </c>
      <c r="R32" s="32">
        <f>SUM(R13:R31)</f>
        <v>0</v>
      </c>
      <c r="S32" s="32">
        <f>SUM(S11:S31)</f>
        <v>6896.6353790000021</v>
      </c>
      <c r="T32" s="32">
        <f>SUM(T11:T31)</f>
        <v>47364.854621000006</v>
      </c>
      <c r="U32" s="19"/>
    </row>
    <row r="33" spans="1:25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 s="23">
        <f>SUM(S32:S32)</f>
        <v>6896.6353790000021</v>
      </c>
      <c r="T33" s="23"/>
    </row>
    <row r="34" spans="1:25" s="18" customFormat="1">
      <c r="A34"/>
      <c r="B34"/>
      <c r="C34"/>
      <c r="D34"/>
      <c r="E34" s="9"/>
      <c r="F34"/>
      <c r="G34"/>
      <c r="H34"/>
      <c r="I34"/>
      <c r="J34"/>
      <c r="K34"/>
      <c r="L34"/>
      <c r="M34" s="46"/>
      <c r="N34"/>
      <c r="O34"/>
      <c r="P34"/>
      <c r="Q34"/>
      <c r="R34"/>
      <c r="S34"/>
      <c r="T34"/>
      <c r="U34"/>
      <c r="X34"/>
      <c r="Y34"/>
    </row>
    <row r="35" spans="1:25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5" s="18" customFormat="1">
      <c r="A36"/>
      <c r="B36"/>
      <c r="C36"/>
      <c r="D36"/>
      <c r="E36" s="9"/>
      <c r="F36"/>
      <c r="G36"/>
      <c r="H36"/>
      <c r="I36"/>
      <c r="J36"/>
      <c r="K36" t="s">
        <v>189</v>
      </c>
      <c r="L36"/>
      <c r="M36"/>
      <c r="N36"/>
      <c r="O36"/>
      <c r="P36"/>
      <c r="Q36"/>
      <c r="R36"/>
      <c r="S36"/>
      <c r="T36"/>
      <c r="U36"/>
    </row>
  </sheetData>
  <mergeCells count="17">
    <mergeCell ref="T8:T10"/>
    <mergeCell ref="A4:U4"/>
    <mergeCell ref="A5:U5"/>
    <mergeCell ref="A6:U6"/>
    <mergeCell ref="A8:A10"/>
    <mergeCell ref="B8:B10"/>
    <mergeCell ref="C8:C10"/>
    <mergeCell ref="D8:D10"/>
    <mergeCell ref="E8:E10"/>
    <mergeCell ref="F8:F10"/>
    <mergeCell ref="G8:G10"/>
    <mergeCell ref="U8:U10"/>
    <mergeCell ref="K8:K10"/>
    <mergeCell ref="L8:L10"/>
    <mergeCell ref="M8:M10"/>
    <mergeCell ref="N8:R8"/>
    <mergeCell ref="S8:S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D36"/>
  <sheetViews>
    <sheetView workbookViewId="0">
      <selection activeCell="R8" sqref="R8:R10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4" width="9.28515625" customWidth="1"/>
    <col min="15" max="15" width="9.7109375" customWidth="1"/>
    <col min="16" max="16" width="7" customWidth="1"/>
    <col min="17" max="17" width="11" customWidth="1"/>
    <col min="18" max="18" width="9" customWidth="1"/>
    <col min="19" max="19" width="8.42578125" customWidth="1"/>
    <col min="20" max="21" width="7.28515625" customWidth="1"/>
    <col min="22" max="22" width="6.7109375" customWidth="1"/>
    <col min="23" max="23" width="6.140625" customWidth="1"/>
    <col min="24" max="24" width="9" customWidth="1"/>
    <col min="25" max="25" width="9.28515625" customWidth="1"/>
    <col min="26" max="26" width="17.28515625" customWidth="1"/>
    <col min="27" max="28" width="11.42578125" style="18" customWidth="1"/>
  </cols>
  <sheetData>
    <row r="1" spans="1:28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3"/>
      <c r="N1" s="3"/>
      <c r="O1" s="3"/>
      <c r="P1" s="1"/>
      <c r="Q1" s="1"/>
      <c r="R1" s="1"/>
      <c r="S1" s="1"/>
      <c r="T1" s="1"/>
      <c r="U1" s="1"/>
      <c r="V1" s="1"/>
      <c r="W1" s="1"/>
      <c r="X1" s="51"/>
      <c r="Y1" s="1"/>
      <c r="Z1" s="51" t="s">
        <v>33</v>
      </c>
      <c r="AA1" s="51"/>
    </row>
    <row r="2" spans="1:28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51"/>
      <c r="Y2" s="51"/>
      <c r="Z2" s="51"/>
      <c r="AA2" s="17"/>
    </row>
    <row r="3" spans="1:28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2"/>
      <c r="Y3" s="1"/>
      <c r="Z3" s="1"/>
      <c r="AA3" s="17"/>
    </row>
    <row r="4" spans="1:28" s="26" customFormat="1" ht="12" customHeight="1">
      <c r="A4" s="237" t="s">
        <v>195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7"/>
      <c r="AB4" s="27"/>
    </row>
    <row r="5" spans="1:28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7"/>
      <c r="AB5" s="27"/>
    </row>
    <row r="6" spans="1:28" s="26" customFormat="1" ht="19.5" customHeight="1">
      <c r="A6" s="237"/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7"/>
      <c r="AB6" s="27"/>
    </row>
    <row r="7" spans="1:28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6"/>
      <c r="Q7" s="6"/>
      <c r="R7" s="6"/>
      <c r="S7" s="4"/>
      <c r="T7" s="4"/>
      <c r="U7" s="4"/>
      <c r="V7" s="4"/>
      <c r="W7" s="4"/>
      <c r="X7" s="4"/>
      <c r="AA7" s="7">
        <v>42399</v>
      </c>
      <c r="AB7" s="8">
        <v>1656</v>
      </c>
    </row>
    <row r="8" spans="1:28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47"/>
      <c r="N8" s="47"/>
      <c r="O8" s="47"/>
      <c r="P8" s="244" t="s">
        <v>11</v>
      </c>
      <c r="Q8" s="124" t="s">
        <v>118</v>
      </c>
      <c r="R8" s="241" t="s">
        <v>126</v>
      </c>
      <c r="S8" s="231" t="s">
        <v>13</v>
      </c>
      <c r="T8" s="232"/>
      <c r="U8" s="232"/>
      <c r="V8" s="232"/>
      <c r="W8" s="233"/>
      <c r="X8" s="234" t="s">
        <v>75</v>
      </c>
      <c r="Y8" s="234" t="s">
        <v>27</v>
      </c>
      <c r="Z8" s="234" t="s">
        <v>14</v>
      </c>
    </row>
    <row r="9" spans="1:28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190</v>
      </c>
      <c r="M9" s="48" t="s">
        <v>191</v>
      </c>
      <c r="N9" s="48" t="s">
        <v>116</v>
      </c>
      <c r="O9" s="48" t="s">
        <v>192</v>
      </c>
      <c r="P9" s="235"/>
      <c r="Q9" s="242" t="s">
        <v>193</v>
      </c>
      <c r="R9" s="235"/>
      <c r="S9" s="25" t="s">
        <v>26</v>
      </c>
      <c r="T9" s="24" t="s">
        <v>25</v>
      </c>
      <c r="U9" s="24" t="s">
        <v>23</v>
      </c>
      <c r="V9" s="24" t="s">
        <v>24</v>
      </c>
      <c r="W9" s="25" t="s">
        <v>16</v>
      </c>
      <c r="X9" s="235"/>
      <c r="Y9" s="235"/>
      <c r="Z9" s="235"/>
    </row>
    <row r="10" spans="1:28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>
        <v>2023</v>
      </c>
      <c r="M10" s="48">
        <v>2023</v>
      </c>
      <c r="N10" s="48">
        <v>2023</v>
      </c>
      <c r="O10" s="48">
        <v>2023</v>
      </c>
      <c r="P10" s="236"/>
      <c r="Q10" s="243"/>
      <c r="R10" s="236"/>
      <c r="S10" s="11">
        <v>0.1</v>
      </c>
      <c r="T10" s="10">
        <v>1.7100000000000001E-2</v>
      </c>
      <c r="U10" s="12">
        <v>5.0000000000000001E-3</v>
      </c>
      <c r="V10" s="13">
        <v>5.0000000000000001E-3</v>
      </c>
      <c r="W10" s="11">
        <v>0.13</v>
      </c>
      <c r="X10" s="236"/>
      <c r="Y10" s="236"/>
      <c r="Z10" s="236"/>
    </row>
    <row r="11" spans="1:28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2250</v>
      </c>
      <c r="L11" s="62"/>
      <c r="M11" s="62">
        <v>112</v>
      </c>
      <c r="N11" s="62">
        <v>112</v>
      </c>
      <c r="O11" s="125">
        <v>112</v>
      </c>
      <c r="P11" s="43">
        <v>0</v>
      </c>
      <c r="Q11" s="43"/>
      <c r="R11" s="62">
        <f>L11+M11+N11+O11+P11</f>
        <v>336</v>
      </c>
      <c r="S11" s="62">
        <f t="shared" ref="S11:S31" si="0">+R11*0.1</f>
        <v>33.6</v>
      </c>
      <c r="T11" s="62">
        <f t="shared" ref="T11:T31" si="1">+R11*0.0171</f>
        <v>5.7456000000000005</v>
      </c>
      <c r="U11" s="62">
        <f t="shared" ref="U11:U31" si="2">+R11*0.005</f>
        <v>1.68</v>
      </c>
      <c r="V11" s="62">
        <f t="shared" ref="V11:V31" si="3">R11*0.5%</f>
        <v>1.68</v>
      </c>
      <c r="W11" s="43">
        <v>0</v>
      </c>
      <c r="X11" s="43">
        <f t="shared" ref="X11:X31" si="4">+S11+T11+U11+V11+W11</f>
        <v>42.705600000000004</v>
      </c>
      <c r="Y11" s="43">
        <f t="shared" ref="Y11:Y31" si="5">+R11-X11</f>
        <v>293.2944</v>
      </c>
      <c r="Z11" s="55"/>
    </row>
    <row r="12" spans="1:28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2400</v>
      </c>
      <c r="L12" s="62"/>
      <c r="M12" s="62">
        <f>K12*3%</f>
        <v>72</v>
      </c>
      <c r="N12" s="62">
        <f>K12*3%</f>
        <v>72</v>
      </c>
      <c r="O12" s="62">
        <f>K12*3%</f>
        <v>72</v>
      </c>
      <c r="P12" s="43">
        <v>0</v>
      </c>
      <c r="Q12" s="43"/>
      <c r="R12" s="62">
        <f>L12+M12+N12+O12+P12</f>
        <v>216</v>
      </c>
      <c r="S12" s="62">
        <f t="shared" si="0"/>
        <v>21.6</v>
      </c>
      <c r="T12" s="62">
        <f t="shared" si="1"/>
        <v>3.6936</v>
      </c>
      <c r="U12" s="62">
        <f t="shared" si="2"/>
        <v>1.08</v>
      </c>
      <c r="V12" s="62">
        <f t="shared" si="3"/>
        <v>1.08</v>
      </c>
      <c r="W12" s="43">
        <v>0</v>
      </c>
      <c r="X12" s="43">
        <f t="shared" si="4"/>
        <v>27.453600000000002</v>
      </c>
      <c r="Y12" s="43">
        <f t="shared" si="5"/>
        <v>188.54640000000001</v>
      </c>
      <c r="Z12" s="55"/>
    </row>
    <row r="13" spans="1:28" s="117" customFormat="1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14">
        <v>6</v>
      </c>
      <c r="I13" s="45"/>
      <c r="J13" s="14">
        <v>30</v>
      </c>
      <c r="K13" s="62">
        <v>3917.36</v>
      </c>
      <c r="L13" s="62">
        <v>58.76</v>
      </c>
      <c r="M13" s="62">
        <f>K13*3%</f>
        <v>117.52079999999999</v>
      </c>
      <c r="N13" s="62">
        <f>K13*3%</f>
        <v>117.52079999999999</v>
      </c>
      <c r="O13" s="62">
        <f>K13*3%</f>
        <v>117.52079999999999</v>
      </c>
      <c r="P13" s="43">
        <v>0</v>
      </c>
      <c r="Q13" s="43"/>
      <c r="R13" s="62">
        <f>L13+M13+N13+O13+P13</f>
        <v>411.32240000000002</v>
      </c>
      <c r="S13" s="62">
        <f t="shared" si="0"/>
        <v>41.132240000000003</v>
      </c>
      <c r="T13" s="62">
        <f t="shared" si="1"/>
        <v>7.0336130400000005</v>
      </c>
      <c r="U13" s="62">
        <f t="shared" si="2"/>
        <v>2.0566120000000003</v>
      </c>
      <c r="V13" s="62">
        <f t="shared" si="3"/>
        <v>2.0566120000000003</v>
      </c>
      <c r="W13" s="43">
        <v>0</v>
      </c>
      <c r="X13" s="43">
        <f t="shared" si="4"/>
        <v>52.279077040000004</v>
      </c>
      <c r="Y13" s="43">
        <f t="shared" si="5"/>
        <v>359.04332296000001</v>
      </c>
      <c r="Z13" s="44"/>
      <c r="AA13" s="116"/>
      <c r="AB13" s="45"/>
    </row>
    <row r="14" spans="1:28" s="117" customFormat="1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126">
        <v>6</v>
      </c>
      <c r="J14" s="15">
        <v>30</v>
      </c>
      <c r="K14" s="38">
        <v>3899.29</v>
      </c>
      <c r="L14" s="38">
        <v>58.49</v>
      </c>
      <c r="M14" s="62">
        <f>K14*3%</f>
        <v>116.97869999999999</v>
      </c>
      <c r="N14" s="62">
        <f>K14*3%</f>
        <v>116.97869999999999</v>
      </c>
      <c r="O14" s="62">
        <f>K14*3%</f>
        <v>116.97869999999999</v>
      </c>
      <c r="P14" s="43">
        <v>0</v>
      </c>
      <c r="Q14" s="43"/>
      <c r="R14" s="62">
        <f>L14+M14+N14+O14+P14</f>
        <v>409.42609999999996</v>
      </c>
      <c r="S14" s="62">
        <f t="shared" si="0"/>
        <v>40.942610000000002</v>
      </c>
      <c r="T14" s="62">
        <f t="shared" si="1"/>
        <v>7.0011863099999996</v>
      </c>
      <c r="U14" s="62">
        <f t="shared" si="2"/>
        <v>2.0471304999999997</v>
      </c>
      <c r="V14" s="62">
        <f t="shared" si="3"/>
        <v>2.0471304999999997</v>
      </c>
      <c r="W14" s="43">
        <v>0</v>
      </c>
      <c r="X14" s="43">
        <f t="shared" si="4"/>
        <v>52.038057310000006</v>
      </c>
      <c r="Y14" s="43">
        <f t="shared" si="5"/>
        <v>357.38804268999996</v>
      </c>
      <c r="Z14" s="44"/>
      <c r="AA14" s="116"/>
      <c r="AB14" s="45"/>
    </row>
    <row r="15" spans="1:28" s="117" customFormat="1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126">
        <v>6</v>
      </c>
      <c r="J15" s="15">
        <v>30</v>
      </c>
      <c r="K15" s="38">
        <v>2703.57</v>
      </c>
      <c r="L15" s="38">
        <v>81.11</v>
      </c>
      <c r="M15" s="62">
        <f>K15*3%</f>
        <v>81.107100000000003</v>
      </c>
      <c r="N15" s="62">
        <f>K15*3%</f>
        <v>81.107100000000003</v>
      </c>
      <c r="O15" s="62">
        <f>K15*3%</f>
        <v>81.107100000000003</v>
      </c>
      <c r="P15" s="43">
        <v>0</v>
      </c>
      <c r="Q15" s="43"/>
      <c r="R15" s="62">
        <f>L15+M15+N15+O15+P15</f>
        <v>324.43130000000002</v>
      </c>
      <c r="S15" s="62">
        <f t="shared" si="0"/>
        <v>32.443130000000004</v>
      </c>
      <c r="T15" s="62">
        <f t="shared" si="1"/>
        <v>5.5477752300000009</v>
      </c>
      <c r="U15" s="62">
        <f t="shared" si="2"/>
        <v>1.6221565000000002</v>
      </c>
      <c r="V15" s="62">
        <f t="shared" si="3"/>
        <v>1.6221565000000002</v>
      </c>
      <c r="W15" s="43">
        <v>0</v>
      </c>
      <c r="X15" s="43">
        <f t="shared" si="4"/>
        <v>41.235218230000008</v>
      </c>
      <c r="Y15" s="43">
        <f t="shared" si="5"/>
        <v>283.19608177000003</v>
      </c>
      <c r="Z15" s="44"/>
      <c r="AA15" s="116"/>
      <c r="AB15" s="45"/>
    </row>
    <row r="16" spans="1:28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2875</v>
      </c>
      <c r="L16" s="38"/>
      <c r="M16" s="62">
        <f>K16*3%</f>
        <v>86.25</v>
      </c>
      <c r="N16" s="62">
        <f>K16*3%</f>
        <v>86.25</v>
      </c>
      <c r="O16" s="62">
        <f>K16*3%</f>
        <v>86.25</v>
      </c>
      <c r="P16" s="43">
        <v>0</v>
      </c>
      <c r="Q16" s="43"/>
      <c r="R16" s="62">
        <f t="shared" ref="R16:R18" si="6">L16+M16+N16+O16+P16</f>
        <v>258.75</v>
      </c>
      <c r="S16" s="62">
        <f t="shared" si="0"/>
        <v>25.875</v>
      </c>
      <c r="T16" s="62">
        <f t="shared" si="1"/>
        <v>4.4246249999999998</v>
      </c>
      <c r="U16" s="62">
        <f t="shared" si="2"/>
        <v>1.29375</v>
      </c>
      <c r="V16" s="62">
        <f t="shared" si="3"/>
        <v>1.29375</v>
      </c>
      <c r="W16" s="43">
        <v>0</v>
      </c>
      <c r="X16" s="43">
        <f t="shared" si="4"/>
        <v>32.887124999999997</v>
      </c>
      <c r="Y16" s="43">
        <f t="shared" si="5"/>
        <v>225.862875</v>
      </c>
      <c r="Z16" s="44"/>
      <c r="AB16" s="45"/>
    </row>
    <row r="17" spans="1:28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2250</v>
      </c>
      <c r="L17" s="38"/>
      <c r="M17" s="38">
        <v>112</v>
      </c>
      <c r="N17" s="38">
        <v>112</v>
      </c>
      <c r="O17" s="62">
        <v>112</v>
      </c>
      <c r="P17" s="43">
        <v>0</v>
      </c>
      <c r="Q17" s="43"/>
      <c r="R17" s="62">
        <f t="shared" si="6"/>
        <v>336</v>
      </c>
      <c r="S17" s="62">
        <f t="shared" si="0"/>
        <v>33.6</v>
      </c>
      <c r="T17" s="62">
        <f t="shared" si="1"/>
        <v>5.7456000000000005</v>
      </c>
      <c r="U17" s="62">
        <f t="shared" si="2"/>
        <v>1.68</v>
      </c>
      <c r="V17" s="62">
        <f t="shared" si="3"/>
        <v>1.68</v>
      </c>
      <c r="W17" s="43">
        <v>0</v>
      </c>
      <c r="X17" s="43">
        <f t="shared" si="4"/>
        <v>42.705600000000004</v>
      </c>
      <c r="Y17" s="43">
        <f t="shared" si="5"/>
        <v>293.2944</v>
      </c>
      <c r="Z17" s="44"/>
      <c r="AB17" s="45"/>
    </row>
    <row r="18" spans="1:28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44958</v>
      </c>
      <c r="H18" s="14">
        <v>5</v>
      </c>
      <c r="I18" s="43">
        <v>2122</v>
      </c>
      <c r="J18" s="14">
        <v>30</v>
      </c>
      <c r="K18" s="62">
        <v>2250</v>
      </c>
      <c r="L18" s="62"/>
      <c r="M18" s="62">
        <v>112</v>
      </c>
      <c r="N18" s="62">
        <v>112</v>
      </c>
      <c r="O18" s="62">
        <v>112</v>
      </c>
      <c r="P18" s="43">
        <v>0</v>
      </c>
      <c r="Q18" s="43"/>
      <c r="R18" s="62">
        <f t="shared" si="6"/>
        <v>336</v>
      </c>
      <c r="S18" s="62">
        <f t="shared" si="0"/>
        <v>33.6</v>
      </c>
      <c r="T18" s="62">
        <f t="shared" si="1"/>
        <v>5.7456000000000005</v>
      </c>
      <c r="U18" s="62">
        <f t="shared" si="2"/>
        <v>1.68</v>
      </c>
      <c r="V18" s="62">
        <f t="shared" si="3"/>
        <v>1.68</v>
      </c>
      <c r="W18" s="43">
        <v>0</v>
      </c>
      <c r="X18" s="43">
        <f t="shared" si="4"/>
        <v>42.705600000000004</v>
      </c>
      <c r="Y18" s="43">
        <f t="shared" si="5"/>
        <v>293.2944</v>
      </c>
      <c r="Z18" s="44"/>
      <c r="AB18" s="45"/>
    </row>
    <row r="19" spans="1:28" s="117" customFormat="1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14">
        <v>6</v>
      </c>
      <c r="I19" s="45"/>
      <c r="J19" s="14">
        <v>30</v>
      </c>
      <c r="K19" s="62">
        <v>2250</v>
      </c>
      <c r="L19" s="62">
        <v>112</v>
      </c>
      <c r="M19" s="62">
        <v>112</v>
      </c>
      <c r="N19" s="62">
        <v>112</v>
      </c>
      <c r="O19" s="62">
        <v>112</v>
      </c>
      <c r="P19" s="43">
        <v>742.5</v>
      </c>
      <c r="Q19" s="43">
        <v>148.52000000000001</v>
      </c>
      <c r="R19" s="62">
        <f>L19+M19+N19+O19+Q19</f>
        <v>596.52</v>
      </c>
      <c r="S19" s="62">
        <f t="shared" si="0"/>
        <v>59.652000000000001</v>
      </c>
      <c r="T19" s="62">
        <f t="shared" si="1"/>
        <v>10.200492000000001</v>
      </c>
      <c r="U19" s="62">
        <f t="shared" si="2"/>
        <v>2.9826000000000001</v>
      </c>
      <c r="V19" s="62">
        <f t="shared" si="3"/>
        <v>2.9826000000000001</v>
      </c>
      <c r="W19" s="43">
        <v>0</v>
      </c>
      <c r="X19" s="43">
        <f t="shared" si="4"/>
        <v>75.817692000000008</v>
      </c>
      <c r="Y19" s="43">
        <f>+R19-X19</f>
        <v>520.70230800000002</v>
      </c>
      <c r="Z19" s="44"/>
      <c r="AA19" s="116"/>
      <c r="AB19" s="108"/>
    </row>
    <row r="20" spans="1:28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44958</v>
      </c>
      <c r="H20" s="40">
        <v>5</v>
      </c>
      <c r="J20" s="15">
        <v>30</v>
      </c>
      <c r="K20" s="38">
        <v>2568.44</v>
      </c>
      <c r="L20" s="38"/>
      <c r="M20" s="38">
        <f>K20*3%</f>
        <v>77.053200000000004</v>
      </c>
      <c r="N20" s="38">
        <f>K20*3%</f>
        <v>77.053200000000004</v>
      </c>
      <c r="O20" s="62">
        <f>K20*3%</f>
        <v>77.053200000000004</v>
      </c>
      <c r="P20" s="43">
        <v>0</v>
      </c>
      <c r="Q20" s="43"/>
      <c r="R20" s="62">
        <f>L20+M20+N20+O20+Q20</f>
        <v>231.15960000000001</v>
      </c>
      <c r="S20" s="62">
        <f t="shared" si="0"/>
        <v>23.115960000000001</v>
      </c>
      <c r="T20" s="62">
        <f t="shared" si="1"/>
        <v>3.9528291600000003</v>
      </c>
      <c r="U20" s="62">
        <f t="shared" si="2"/>
        <v>1.1557980000000001</v>
      </c>
      <c r="V20" s="62">
        <f t="shared" si="3"/>
        <v>1.1557980000000001</v>
      </c>
      <c r="W20" s="43">
        <v>0</v>
      </c>
      <c r="X20" s="43">
        <f t="shared" si="4"/>
        <v>29.380385160000003</v>
      </c>
      <c r="Y20" s="43">
        <f t="shared" si="5"/>
        <v>201.77921484000001</v>
      </c>
      <c r="Z20" s="44"/>
      <c r="AB20" s="45"/>
    </row>
    <row r="21" spans="1:28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44958</v>
      </c>
      <c r="H21" s="40">
        <v>4</v>
      </c>
      <c r="J21" s="15">
        <v>30</v>
      </c>
      <c r="K21" s="38">
        <v>2250</v>
      </c>
      <c r="L21" s="38"/>
      <c r="M21" s="38">
        <v>112</v>
      </c>
      <c r="N21" s="38">
        <v>112</v>
      </c>
      <c r="O21" s="62">
        <v>112</v>
      </c>
      <c r="P21" s="43">
        <v>0</v>
      </c>
      <c r="Q21" s="43"/>
      <c r="R21" s="62">
        <f t="shared" ref="R21:R31" si="7">L21+M21+N21+O21+Q21</f>
        <v>336</v>
      </c>
      <c r="S21" s="62">
        <f t="shared" si="0"/>
        <v>33.6</v>
      </c>
      <c r="T21" s="62">
        <f t="shared" si="1"/>
        <v>5.7456000000000005</v>
      </c>
      <c r="U21" s="62">
        <f t="shared" si="2"/>
        <v>1.68</v>
      </c>
      <c r="V21" s="62">
        <f t="shared" si="3"/>
        <v>1.68</v>
      </c>
      <c r="W21" s="43">
        <v>0</v>
      </c>
      <c r="X21" s="43">
        <f t="shared" si="4"/>
        <v>42.705600000000004</v>
      </c>
      <c r="Y21" s="43">
        <f t="shared" si="5"/>
        <v>293.2944</v>
      </c>
      <c r="Z21" s="44"/>
      <c r="AB21" s="45"/>
    </row>
    <row r="22" spans="1:28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44958</v>
      </c>
      <c r="H22" s="40">
        <v>6</v>
      </c>
      <c r="J22" s="15">
        <v>30</v>
      </c>
      <c r="K22" s="38">
        <v>2359.9499999999998</v>
      </c>
      <c r="L22" s="38"/>
      <c r="M22" s="38">
        <f>K22*3%</f>
        <v>70.79849999999999</v>
      </c>
      <c r="N22" s="38">
        <f>K22*3%</f>
        <v>70.79849999999999</v>
      </c>
      <c r="O22" s="62">
        <f>K22*3%</f>
        <v>70.79849999999999</v>
      </c>
      <c r="P22" s="43">
        <v>0</v>
      </c>
      <c r="Q22" s="43"/>
      <c r="R22" s="62">
        <f t="shared" si="7"/>
        <v>212.39549999999997</v>
      </c>
      <c r="S22" s="62">
        <f t="shared" si="0"/>
        <v>21.239549999999998</v>
      </c>
      <c r="T22" s="62">
        <f t="shared" si="1"/>
        <v>3.6319630499999995</v>
      </c>
      <c r="U22" s="62">
        <f t="shared" si="2"/>
        <v>1.0619774999999998</v>
      </c>
      <c r="V22" s="62">
        <f t="shared" si="3"/>
        <v>1.0619774999999998</v>
      </c>
      <c r="W22" s="43">
        <v>0</v>
      </c>
      <c r="X22" s="43">
        <f t="shared" si="4"/>
        <v>26.995468049999999</v>
      </c>
      <c r="Y22" s="43">
        <f t="shared" si="5"/>
        <v>185.40003194999997</v>
      </c>
      <c r="Z22" s="44"/>
      <c r="AB22" s="45"/>
    </row>
    <row r="23" spans="1:28" ht="22.5" customHeight="1">
      <c r="A23" s="57">
        <v>13</v>
      </c>
      <c r="B23" s="21" t="s">
        <v>96</v>
      </c>
      <c r="C23" s="21" t="s">
        <v>181</v>
      </c>
      <c r="D23" s="20"/>
      <c r="E23" s="22" t="s">
        <v>40</v>
      </c>
      <c r="F23" s="41" t="s">
        <v>40</v>
      </c>
      <c r="G23" s="30">
        <v>44958</v>
      </c>
      <c r="H23" s="63">
        <v>5</v>
      </c>
      <c r="I23" s="64"/>
      <c r="J23" s="14">
        <v>30</v>
      </c>
      <c r="K23" s="62">
        <v>2250</v>
      </c>
      <c r="L23" s="62"/>
      <c r="M23" s="62">
        <v>112</v>
      </c>
      <c r="N23" s="62">
        <v>112</v>
      </c>
      <c r="O23" s="62">
        <v>112</v>
      </c>
      <c r="P23" s="43">
        <v>0</v>
      </c>
      <c r="Q23" s="43"/>
      <c r="R23" s="62">
        <f t="shared" si="7"/>
        <v>336</v>
      </c>
      <c r="S23" s="62">
        <f t="shared" si="0"/>
        <v>33.6</v>
      </c>
      <c r="T23" s="62">
        <f t="shared" si="1"/>
        <v>5.7456000000000005</v>
      </c>
      <c r="U23" s="62">
        <f t="shared" si="2"/>
        <v>1.68</v>
      </c>
      <c r="V23" s="62">
        <f t="shared" si="3"/>
        <v>1.68</v>
      </c>
      <c r="W23" s="43">
        <v>0</v>
      </c>
      <c r="X23" s="43">
        <f t="shared" si="4"/>
        <v>42.705600000000004</v>
      </c>
      <c r="Y23" s="43">
        <f t="shared" si="5"/>
        <v>293.2944</v>
      </c>
      <c r="Z23" s="44"/>
      <c r="AB23" s="45"/>
    </row>
    <row r="24" spans="1:28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44958</v>
      </c>
      <c r="H24" s="40">
        <v>4</v>
      </c>
      <c r="J24" s="15">
        <v>30</v>
      </c>
      <c r="K24" s="38">
        <v>2250</v>
      </c>
      <c r="L24" s="38"/>
      <c r="M24" s="38">
        <v>112</v>
      </c>
      <c r="N24" s="38">
        <v>112</v>
      </c>
      <c r="O24" s="62">
        <v>112</v>
      </c>
      <c r="P24" s="43">
        <v>0</v>
      </c>
      <c r="Q24" s="43"/>
      <c r="R24" s="62">
        <f t="shared" si="7"/>
        <v>336</v>
      </c>
      <c r="S24" s="62">
        <f t="shared" si="0"/>
        <v>33.6</v>
      </c>
      <c r="T24" s="62">
        <f t="shared" si="1"/>
        <v>5.7456000000000005</v>
      </c>
      <c r="U24" s="62">
        <f t="shared" si="2"/>
        <v>1.68</v>
      </c>
      <c r="V24" s="62">
        <f t="shared" si="3"/>
        <v>1.68</v>
      </c>
      <c r="W24" s="43">
        <v>0</v>
      </c>
      <c r="X24" s="43">
        <f t="shared" si="4"/>
        <v>42.705600000000004</v>
      </c>
      <c r="Y24" s="43">
        <f t="shared" si="5"/>
        <v>293.2944</v>
      </c>
      <c r="Z24" s="44"/>
      <c r="AB24" s="45"/>
    </row>
    <row r="25" spans="1:28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2340.59</v>
      </c>
      <c r="L25" s="38"/>
      <c r="M25" s="38">
        <f>K25*3%</f>
        <v>70.217700000000008</v>
      </c>
      <c r="N25" s="38">
        <f>K25*3%</f>
        <v>70.217700000000008</v>
      </c>
      <c r="O25" s="62">
        <f>K25*3%</f>
        <v>70.217700000000008</v>
      </c>
      <c r="P25" s="43">
        <v>0</v>
      </c>
      <c r="Q25" s="43"/>
      <c r="R25" s="62">
        <f t="shared" si="7"/>
        <v>210.65310000000002</v>
      </c>
      <c r="S25" s="62">
        <f t="shared" si="0"/>
        <v>21.065310000000004</v>
      </c>
      <c r="T25" s="62">
        <f t="shared" si="1"/>
        <v>3.6021680100000006</v>
      </c>
      <c r="U25" s="62">
        <f t="shared" si="2"/>
        <v>1.0532655000000002</v>
      </c>
      <c r="V25" s="62">
        <f t="shared" si="3"/>
        <v>1.0532655000000002</v>
      </c>
      <c r="W25" s="43">
        <v>0</v>
      </c>
      <c r="X25" s="43">
        <f t="shared" si="4"/>
        <v>26.774009010000007</v>
      </c>
      <c r="Y25" s="43">
        <f t="shared" si="5"/>
        <v>183.87909099000001</v>
      </c>
      <c r="Z25" s="44"/>
      <c r="AB25" s="45"/>
    </row>
    <row r="26" spans="1:28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44958</v>
      </c>
      <c r="H26" s="40">
        <v>5</v>
      </c>
      <c r="J26" s="15">
        <v>30</v>
      </c>
      <c r="K26" s="38">
        <v>2400</v>
      </c>
      <c r="L26" s="38"/>
      <c r="M26" s="38">
        <f>K26*3%</f>
        <v>72</v>
      </c>
      <c r="N26" s="38">
        <f>K26*3%</f>
        <v>72</v>
      </c>
      <c r="O26" s="62">
        <f>K26*3%</f>
        <v>72</v>
      </c>
      <c r="P26" s="43">
        <v>0</v>
      </c>
      <c r="Q26" s="43"/>
      <c r="R26" s="62">
        <f t="shared" si="7"/>
        <v>216</v>
      </c>
      <c r="S26" s="62">
        <f t="shared" si="0"/>
        <v>21.6</v>
      </c>
      <c r="T26" s="62">
        <f t="shared" si="1"/>
        <v>3.6936</v>
      </c>
      <c r="U26" s="62">
        <f t="shared" si="2"/>
        <v>1.08</v>
      </c>
      <c r="V26" s="62">
        <f t="shared" si="3"/>
        <v>1.08</v>
      </c>
      <c r="W26" s="43">
        <v>0</v>
      </c>
      <c r="X26" s="43">
        <f t="shared" si="4"/>
        <v>27.453600000000002</v>
      </c>
      <c r="Y26" s="43">
        <f t="shared" si="5"/>
        <v>188.54640000000001</v>
      </c>
      <c r="Z26" s="44"/>
      <c r="AB26" s="45"/>
    </row>
    <row r="27" spans="1:28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44958</v>
      </c>
      <c r="H27" s="40">
        <v>6</v>
      </c>
      <c r="J27" s="15">
        <v>30</v>
      </c>
      <c r="K27" s="38">
        <v>2250</v>
      </c>
      <c r="L27" s="38"/>
      <c r="M27" s="38">
        <v>112</v>
      </c>
      <c r="N27" s="38">
        <v>112</v>
      </c>
      <c r="O27" s="62">
        <v>112</v>
      </c>
      <c r="P27" s="43">
        <v>0</v>
      </c>
      <c r="Q27" s="43"/>
      <c r="R27" s="62">
        <f t="shared" si="7"/>
        <v>336</v>
      </c>
      <c r="S27" s="62">
        <f>+R27*0.1</f>
        <v>33.6</v>
      </c>
      <c r="T27" s="62">
        <f>+R27*0.0171</f>
        <v>5.7456000000000005</v>
      </c>
      <c r="U27" s="62">
        <f>+R27*0.005</f>
        <v>1.68</v>
      </c>
      <c r="V27" s="62">
        <f>R27*0.5%</f>
        <v>1.68</v>
      </c>
      <c r="W27" s="43">
        <v>0</v>
      </c>
      <c r="X27" s="43">
        <f>+S27+T27+U27+V27+W27</f>
        <v>42.705600000000004</v>
      </c>
      <c r="Y27" s="43">
        <f>+R27-X27</f>
        <v>293.2944</v>
      </c>
      <c r="Z27" s="44"/>
      <c r="AB27" s="45"/>
    </row>
    <row r="28" spans="1:28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44958</v>
      </c>
      <c r="H28" s="74">
        <v>5</v>
      </c>
      <c r="J28" s="75">
        <v>30</v>
      </c>
      <c r="K28" s="38">
        <v>2464.79</v>
      </c>
      <c r="L28" s="38"/>
      <c r="M28" s="38">
        <f t="shared" ref="M28:M29" si="8">K28*3%</f>
        <v>73.943699999999993</v>
      </c>
      <c r="N28" s="38">
        <f t="shared" ref="N28:N29" si="9">K28*3%</f>
        <v>73.943699999999993</v>
      </c>
      <c r="O28" s="62">
        <f t="shared" ref="O28:O29" si="10">K28*3%</f>
        <v>73.943699999999993</v>
      </c>
      <c r="P28" s="43">
        <v>0</v>
      </c>
      <c r="Q28" s="43"/>
      <c r="R28" s="62">
        <f t="shared" si="7"/>
        <v>221.83109999999999</v>
      </c>
      <c r="S28" s="62">
        <f t="shared" si="0"/>
        <v>22.183109999999999</v>
      </c>
      <c r="T28" s="62">
        <f t="shared" si="1"/>
        <v>3.7933118100000001</v>
      </c>
      <c r="U28" s="62">
        <f t="shared" si="2"/>
        <v>1.1091555</v>
      </c>
      <c r="V28" s="62">
        <f t="shared" si="3"/>
        <v>1.1091555</v>
      </c>
      <c r="W28" s="43">
        <v>0</v>
      </c>
      <c r="X28" s="43">
        <f t="shared" si="4"/>
        <v>28.194732809999998</v>
      </c>
      <c r="Y28" s="43">
        <f t="shared" si="5"/>
        <v>193.63636718999999</v>
      </c>
      <c r="Z28" s="44"/>
      <c r="AB28" s="45"/>
    </row>
    <row r="29" spans="1:28" ht="22.5" customHeight="1">
      <c r="A29" s="57">
        <v>19</v>
      </c>
      <c r="B29" s="41" t="s">
        <v>183</v>
      </c>
      <c r="C29" s="41" t="s">
        <v>184</v>
      </c>
      <c r="D29" s="42"/>
      <c r="E29" s="14"/>
      <c r="F29" s="123" t="s">
        <v>185</v>
      </c>
      <c r="G29" s="30">
        <v>44958</v>
      </c>
      <c r="H29" s="122">
        <v>6</v>
      </c>
      <c r="I29" s="15">
        <v>30</v>
      </c>
      <c r="J29" s="75">
        <v>30</v>
      </c>
      <c r="K29" s="68">
        <v>3090</v>
      </c>
      <c r="L29" s="68"/>
      <c r="M29" s="38">
        <f t="shared" si="8"/>
        <v>92.7</v>
      </c>
      <c r="N29" s="38">
        <f t="shared" si="9"/>
        <v>92.7</v>
      </c>
      <c r="O29" s="62">
        <f t="shared" si="10"/>
        <v>92.7</v>
      </c>
      <c r="P29" s="43">
        <v>0</v>
      </c>
      <c r="Q29" s="43"/>
      <c r="R29" s="62">
        <f t="shared" si="7"/>
        <v>278.10000000000002</v>
      </c>
      <c r="S29" s="62">
        <f t="shared" si="0"/>
        <v>27.810000000000002</v>
      </c>
      <c r="T29" s="62">
        <f t="shared" si="1"/>
        <v>4.7555100000000001</v>
      </c>
      <c r="U29" s="62">
        <f t="shared" si="2"/>
        <v>1.3905000000000001</v>
      </c>
      <c r="V29" s="62">
        <f t="shared" si="3"/>
        <v>1.3905000000000001</v>
      </c>
      <c r="W29" s="43">
        <v>0</v>
      </c>
      <c r="X29" s="43">
        <f t="shared" si="4"/>
        <v>35.346510000000009</v>
      </c>
      <c r="Y29" s="43">
        <f t="shared" si="5"/>
        <v>242.75349</v>
      </c>
      <c r="Z29" s="44"/>
      <c r="AB29" s="45"/>
    </row>
    <row r="30" spans="1:28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30">
        <v>44958</v>
      </c>
      <c r="H30" s="40">
        <v>5</v>
      </c>
      <c r="I30" s="76"/>
      <c r="J30" s="75">
        <v>30</v>
      </c>
      <c r="K30" s="68">
        <v>2250</v>
      </c>
      <c r="L30" s="68"/>
      <c r="M30" s="68">
        <v>112</v>
      </c>
      <c r="N30" s="68">
        <v>112</v>
      </c>
      <c r="O30" s="69">
        <v>112</v>
      </c>
      <c r="P30" s="43">
        <v>0</v>
      </c>
      <c r="Q30" s="43"/>
      <c r="R30" s="62">
        <f t="shared" si="7"/>
        <v>336</v>
      </c>
      <c r="S30" s="62">
        <f t="shared" si="0"/>
        <v>33.6</v>
      </c>
      <c r="T30" s="62">
        <f t="shared" si="1"/>
        <v>5.7456000000000005</v>
      </c>
      <c r="U30" s="62">
        <f t="shared" si="2"/>
        <v>1.68</v>
      </c>
      <c r="V30" s="62">
        <f t="shared" si="3"/>
        <v>1.68</v>
      </c>
      <c r="W30" s="43">
        <v>0</v>
      </c>
      <c r="X30" s="43">
        <f t="shared" si="4"/>
        <v>42.705600000000004</v>
      </c>
      <c r="Y30" s="43">
        <f t="shared" si="5"/>
        <v>293.2944</v>
      </c>
      <c r="Z30" s="44"/>
      <c r="AB30" s="45"/>
    </row>
    <row r="31" spans="1:28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44958</v>
      </c>
      <c r="H31" s="40">
        <v>5</v>
      </c>
      <c r="I31" s="76"/>
      <c r="J31" s="75">
        <v>30</v>
      </c>
      <c r="K31" s="68">
        <v>2250</v>
      </c>
      <c r="L31" s="68"/>
      <c r="M31" s="68">
        <v>112</v>
      </c>
      <c r="N31" s="68">
        <v>112</v>
      </c>
      <c r="O31" s="69">
        <v>112</v>
      </c>
      <c r="P31" s="43">
        <v>0</v>
      </c>
      <c r="Q31" s="43"/>
      <c r="R31" s="62">
        <f t="shared" si="7"/>
        <v>336</v>
      </c>
      <c r="S31" s="62">
        <f t="shared" si="0"/>
        <v>33.6</v>
      </c>
      <c r="T31" s="62">
        <f t="shared" si="1"/>
        <v>5.7456000000000005</v>
      </c>
      <c r="U31" s="62">
        <f t="shared" si="2"/>
        <v>1.68</v>
      </c>
      <c r="V31" s="62">
        <f t="shared" si="3"/>
        <v>1.68</v>
      </c>
      <c r="W31" s="43">
        <v>0</v>
      </c>
      <c r="X31" s="43">
        <f t="shared" si="4"/>
        <v>42.705600000000004</v>
      </c>
      <c r="Y31" s="43">
        <f t="shared" si="5"/>
        <v>293.2944</v>
      </c>
      <c r="Z31" s="44"/>
      <c r="AB31" s="45"/>
    </row>
    <row r="32" spans="1:28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53518.99</v>
      </c>
      <c r="L32" s="32">
        <f>SUM(L11:L31)</f>
        <v>310.36</v>
      </c>
      <c r="M32" s="32">
        <f>SUM(M11:M31)</f>
        <v>2050.5697</v>
      </c>
      <c r="N32" s="32">
        <f>SUM(N11:N31)</f>
        <v>2050.5697</v>
      </c>
      <c r="O32" s="32">
        <f>SUM(O11:O31)</f>
        <v>2050.5697</v>
      </c>
      <c r="P32" s="32">
        <f t="shared" ref="P32" si="11">SUM(P13:P28)</f>
        <v>742.5</v>
      </c>
      <c r="Q32" s="32">
        <f t="shared" ref="Q32:V32" si="12">SUM(Q11:Q31)</f>
        <v>148.52000000000001</v>
      </c>
      <c r="R32" s="32">
        <f t="shared" si="12"/>
        <v>6610.5891000000011</v>
      </c>
      <c r="S32" s="32">
        <f t="shared" si="12"/>
        <v>661.05890999999997</v>
      </c>
      <c r="T32" s="32">
        <f t="shared" si="12"/>
        <v>113.04107361</v>
      </c>
      <c r="U32" s="32">
        <f t="shared" si="12"/>
        <v>33.0529455</v>
      </c>
      <c r="V32" s="32">
        <f t="shared" si="12"/>
        <v>33.0529455</v>
      </c>
      <c r="W32" s="32">
        <f>SUM(W13:W31)</f>
        <v>0</v>
      </c>
      <c r="X32" s="32">
        <f>SUM(X11:X31)</f>
        <v>840.20587461000014</v>
      </c>
      <c r="Y32" s="32">
        <f>SUM(Y11:Y31)</f>
        <v>5770.3832253899991</v>
      </c>
      <c r="Z32" s="19"/>
    </row>
    <row r="33" spans="1:30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s="23">
        <f>SUM(X32:X32)</f>
        <v>840.20587461000014</v>
      </c>
      <c r="Y33" s="23"/>
    </row>
    <row r="34" spans="1:30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 s="46"/>
      <c r="S34"/>
      <c r="T34"/>
      <c r="U34"/>
      <c r="V34"/>
      <c r="W34"/>
      <c r="X34"/>
      <c r="Y34"/>
      <c r="Z34"/>
      <c r="AC34"/>
      <c r="AD34"/>
    </row>
    <row r="35" spans="1:30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30" s="18" customFormat="1">
      <c r="A36"/>
      <c r="B36"/>
      <c r="C36"/>
      <c r="D36"/>
      <c r="E36" s="9"/>
      <c r="F36"/>
      <c r="G36"/>
      <c r="H36"/>
      <c r="I36"/>
      <c r="J36"/>
      <c r="K36" t="s">
        <v>194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</sheetData>
  <mergeCells count="18">
    <mergeCell ref="K8:K10"/>
    <mergeCell ref="P8:P10"/>
    <mergeCell ref="R8:R10"/>
    <mergeCell ref="S8:W8"/>
    <mergeCell ref="X8:X10"/>
    <mergeCell ref="Y8:Y10"/>
    <mergeCell ref="A4:Z4"/>
    <mergeCell ref="A5:Z5"/>
    <mergeCell ref="A6:Z6"/>
    <mergeCell ref="A8:A10"/>
    <mergeCell ref="B8:B10"/>
    <mergeCell ref="C8:C10"/>
    <mergeCell ref="D8:D10"/>
    <mergeCell ref="E8:E10"/>
    <mergeCell ref="F8:F10"/>
    <mergeCell ref="G8:G10"/>
    <mergeCell ref="Z8:Z10"/>
    <mergeCell ref="Q9:Q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Z36"/>
  <sheetViews>
    <sheetView workbookViewId="0">
      <selection activeCell="O38" sqref="O3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7" width="7.28515625" customWidth="1"/>
    <col min="18" max="18" width="6.7109375" customWidth="1"/>
    <col min="19" max="19" width="6.140625" customWidth="1"/>
    <col min="20" max="20" width="9" customWidth="1"/>
    <col min="21" max="21" width="9.28515625" customWidth="1"/>
    <col min="22" max="22" width="17.28515625" customWidth="1"/>
    <col min="23" max="24" width="11.42578125" style="18" customWidth="1"/>
  </cols>
  <sheetData>
    <row r="1" spans="1:24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51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37" t="s">
        <v>2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7"/>
      <c r="X4" s="27"/>
    </row>
    <row r="5" spans="1:24" s="26" customFormat="1" ht="21.75" customHeight="1">
      <c r="A5" s="237" t="s">
        <v>48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7"/>
      <c r="X5" s="27"/>
    </row>
    <row r="6" spans="1:24" s="26" customFormat="1" ht="19.5" customHeight="1">
      <c r="A6" s="237" t="s">
        <v>196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1" si="0">K11+M11</f>
        <v>2362</v>
      </c>
      <c r="O11" s="62">
        <f t="shared" ref="O11:O31" si="1">+N11*0.1</f>
        <v>236.20000000000002</v>
      </c>
      <c r="P11" s="62">
        <f t="shared" ref="P11:P31" si="2">+N11*0.0171</f>
        <v>40.3902</v>
      </c>
      <c r="Q11" s="62">
        <f t="shared" ref="Q11:Q31" si="3">+N11*0.005</f>
        <v>11.81</v>
      </c>
      <c r="R11" s="62">
        <f t="shared" ref="R11:R31" si="4">N11*0.5%</f>
        <v>11.81</v>
      </c>
      <c r="S11" s="43">
        <v>0</v>
      </c>
      <c r="T11" s="43">
        <f t="shared" ref="T11:T31" si="5">+O11+P11+Q11+R11+S11</f>
        <v>300.21020000000004</v>
      </c>
      <c r="U11" s="43">
        <f t="shared" ref="U11:U31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21" t="s">
        <v>85</v>
      </c>
      <c r="C18" s="21" t="s">
        <v>86</v>
      </c>
      <c r="D18" s="20"/>
      <c r="E18" s="22" t="s">
        <v>40</v>
      </c>
      <c r="F18" s="30" t="s">
        <v>40</v>
      </c>
      <c r="G18" s="30">
        <v>44958</v>
      </c>
      <c r="H18" s="14">
        <v>5</v>
      </c>
      <c r="I18" s="43">
        <v>2122</v>
      </c>
      <c r="J18" s="14">
        <v>30</v>
      </c>
      <c r="K18" s="62">
        <v>2362</v>
      </c>
      <c r="L18" s="62"/>
      <c r="M18" s="43">
        <v>0</v>
      </c>
      <c r="N18" s="62">
        <f t="shared" si="0"/>
        <v>2362</v>
      </c>
      <c r="O18" s="62">
        <f t="shared" si="1"/>
        <v>236.20000000000002</v>
      </c>
      <c r="P18" s="62">
        <f t="shared" si="2"/>
        <v>40.3902</v>
      </c>
      <c r="Q18" s="62">
        <f t="shared" si="3"/>
        <v>11.81</v>
      </c>
      <c r="R18" s="62">
        <f t="shared" si="4"/>
        <v>11.81</v>
      </c>
      <c r="S18" s="43">
        <v>0</v>
      </c>
      <c r="T18" s="43">
        <f t="shared" si="5"/>
        <v>300.21020000000004</v>
      </c>
      <c r="U18" s="43">
        <f t="shared" si="6"/>
        <v>2061.7898</v>
      </c>
      <c r="V18" s="44"/>
      <c r="X18" s="45"/>
    </row>
    <row r="19" spans="1:24" ht="22.5" customHeight="1">
      <c r="A19" s="57">
        <v>9</v>
      </c>
      <c r="B19" s="41" t="s">
        <v>45</v>
      </c>
      <c r="C19" s="41" t="s">
        <v>46</v>
      </c>
      <c r="D19" s="42"/>
      <c r="E19" s="14"/>
      <c r="F19" s="41" t="s">
        <v>47</v>
      </c>
      <c r="G19" s="30">
        <v>43101</v>
      </c>
      <c r="H19" s="63">
        <v>6</v>
      </c>
      <c r="I19" s="64"/>
      <c r="J19" s="14">
        <v>30</v>
      </c>
      <c r="K19" s="62">
        <v>2362</v>
      </c>
      <c r="L19" s="62"/>
      <c r="M19" s="43">
        <v>779.63</v>
      </c>
      <c r="N19" s="62">
        <f t="shared" si="0"/>
        <v>3141.63</v>
      </c>
      <c r="O19" s="62">
        <f t="shared" si="1"/>
        <v>314.16300000000001</v>
      </c>
      <c r="P19" s="62">
        <f t="shared" si="2"/>
        <v>53.721873000000002</v>
      </c>
      <c r="Q19" s="62">
        <f t="shared" si="3"/>
        <v>15.708150000000002</v>
      </c>
      <c r="R19" s="62">
        <f t="shared" si="4"/>
        <v>15.708150000000002</v>
      </c>
      <c r="S19" s="43">
        <v>0</v>
      </c>
      <c r="T19" s="43">
        <f t="shared" si="5"/>
        <v>399.30117300000001</v>
      </c>
      <c r="U19" s="43">
        <f>+N19-T19</f>
        <v>2742.3288270000003</v>
      </c>
      <c r="V19" s="44"/>
      <c r="X19" s="108"/>
    </row>
    <row r="20" spans="1:24" ht="22.5" customHeight="1">
      <c r="A20" s="57">
        <v>10</v>
      </c>
      <c r="B20" s="41" t="s">
        <v>31</v>
      </c>
      <c r="C20" s="41" t="s">
        <v>62</v>
      </c>
      <c r="D20" s="42"/>
      <c r="E20" s="14"/>
      <c r="F20" s="41" t="s">
        <v>32</v>
      </c>
      <c r="G20" s="30">
        <v>44958</v>
      </c>
      <c r="H20" s="40">
        <v>5</v>
      </c>
      <c r="J20" s="15">
        <v>30</v>
      </c>
      <c r="K20" s="38">
        <v>2645.49</v>
      </c>
      <c r="L20" s="62"/>
      <c r="M20" s="43">
        <v>0</v>
      </c>
      <c r="N20" s="62">
        <f t="shared" si="0"/>
        <v>2645.49</v>
      </c>
      <c r="O20" s="62">
        <f t="shared" si="1"/>
        <v>264.54899999999998</v>
      </c>
      <c r="P20" s="62">
        <f t="shared" si="2"/>
        <v>45.237879</v>
      </c>
      <c r="Q20" s="62">
        <f t="shared" si="3"/>
        <v>13.227449999999999</v>
      </c>
      <c r="R20" s="62">
        <f t="shared" si="4"/>
        <v>13.227449999999999</v>
      </c>
      <c r="S20" s="43">
        <v>0</v>
      </c>
      <c r="T20" s="43">
        <f t="shared" si="5"/>
        <v>336.24177899999995</v>
      </c>
      <c r="U20" s="43">
        <f t="shared" si="6"/>
        <v>2309.2482209999998</v>
      </c>
      <c r="V20" s="44"/>
      <c r="X20" s="45"/>
    </row>
    <row r="21" spans="1:24" ht="22.5" customHeight="1">
      <c r="A21" s="57">
        <v>11</v>
      </c>
      <c r="B21" s="110" t="s">
        <v>149</v>
      </c>
      <c r="C21" s="111" t="s">
        <v>150</v>
      </c>
      <c r="D21" s="42"/>
      <c r="E21" s="14"/>
      <c r="F21" s="112" t="s">
        <v>36</v>
      </c>
      <c r="G21" s="30">
        <v>44958</v>
      </c>
      <c r="H21" s="40">
        <v>4</v>
      </c>
      <c r="J21" s="15">
        <v>30</v>
      </c>
      <c r="K21" s="38">
        <v>2362</v>
      </c>
      <c r="L21" s="62"/>
      <c r="M21" s="43">
        <v>0</v>
      </c>
      <c r="N21" s="62">
        <f t="shared" si="0"/>
        <v>2362</v>
      </c>
      <c r="O21" s="62">
        <f t="shared" si="1"/>
        <v>236.20000000000002</v>
      </c>
      <c r="P21" s="62">
        <f t="shared" si="2"/>
        <v>40.3902</v>
      </c>
      <c r="Q21" s="62">
        <f t="shared" si="3"/>
        <v>11.81</v>
      </c>
      <c r="R21" s="62">
        <f t="shared" si="4"/>
        <v>11.81</v>
      </c>
      <c r="S21" s="43">
        <v>0</v>
      </c>
      <c r="T21" s="43">
        <f t="shared" si="5"/>
        <v>300.21020000000004</v>
      </c>
      <c r="U21" s="43">
        <f t="shared" si="6"/>
        <v>2061.7898</v>
      </c>
      <c r="V21" s="44"/>
      <c r="X21" s="45"/>
    </row>
    <row r="22" spans="1:24" ht="22.5" customHeight="1">
      <c r="A22" s="57">
        <v>12</v>
      </c>
      <c r="B22" s="41" t="s">
        <v>52</v>
      </c>
      <c r="C22" s="41" t="s">
        <v>128</v>
      </c>
      <c r="D22" s="42"/>
      <c r="E22" s="14"/>
      <c r="F22" s="41" t="s">
        <v>40</v>
      </c>
      <c r="G22" s="30">
        <v>44958</v>
      </c>
      <c r="H22" s="40">
        <v>6</v>
      </c>
      <c r="J22" s="15">
        <v>30</v>
      </c>
      <c r="K22" s="38">
        <v>2430.75</v>
      </c>
      <c r="L22" s="62"/>
      <c r="M22" s="43">
        <v>0</v>
      </c>
      <c r="N22" s="62">
        <f t="shared" si="0"/>
        <v>2430.75</v>
      </c>
      <c r="O22" s="62">
        <f t="shared" si="1"/>
        <v>243.07500000000002</v>
      </c>
      <c r="P22" s="62">
        <f t="shared" si="2"/>
        <v>41.565825000000004</v>
      </c>
      <c r="Q22" s="62">
        <f t="shared" si="3"/>
        <v>12.15375</v>
      </c>
      <c r="R22" s="62">
        <f t="shared" si="4"/>
        <v>12.15375</v>
      </c>
      <c r="S22" s="43">
        <v>0</v>
      </c>
      <c r="T22" s="43">
        <f t="shared" si="5"/>
        <v>308.94832500000001</v>
      </c>
      <c r="U22" s="43">
        <f t="shared" si="6"/>
        <v>2121.8016750000002</v>
      </c>
      <c r="V22" s="44"/>
      <c r="X22" s="45"/>
    </row>
    <row r="23" spans="1:24" ht="22.5" customHeight="1">
      <c r="A23" s="57">
        <v>13</v>
      </c>
      <c r="B23" s="21" t="s">
        <v>96</v>
      </c>
      <c r="C23" s="21" t="s">
        <v>181</v>
      </c>
      <c r="D23" s="20"/>
      <c r="E23" s="22" t="s">
        <v>40</v>
      </c>
      <c r="F23" s="41" t="s">
        <v>40</v>
      </c>
      <c r="G23" s="30">
        <v>44958</v>
      </c>
      <c r="H23" s="63">
        <v>5</v>
      </c>
      <c r="I23" s="64"/>
      <c r="J23" s="14">
        <v>30</v>
      </c>
      <c r="K23" s="62">
        <v>2362</v>
      </c>
      <c r="L23" s="62"/>
      <c r="M23" s="43">
        <v>0</v>
      </c>
      <c r="N23" s="62">
        <f t="shared" si="0"/>
        <v>2362</v>
      </c>
      <c r="O23" s="62">
        <f t="shared" si="1"/>
        <v>236.20000000000002</v>
      </c>
      <c r="P23" s="62">
        <f t="shared" si="2"/>
        <v>40.3902</v>
      </c>
      <c r="Q23" s="62">
        <f t="shared" si="3"/>
        <v>11.81</v>
      </c>
      <c r="R23" s="62">
        <f t="shared" si="4"/>
        <v>11.81</v>
      </c>
      <c r="S23" s="43">
        <v>0</v>
      </c>
      <c r="T23" s="43">
        <f t="shared" si="5"/>
        <v>300.21020000000004</v>
      </c>
      <c r="U23" s="43">
        <f t="shared" si="6"/>
        <v>2061.7898</v>
      </c>
      <c r="V23" s="44"/>
      <c r="X23" s="45"/>
    </row>
    <row r="24" spans="1:24" ht="22.5" customHeight="1">
      <c r="A24" s="57">
        <v>14</v>
      </c>
      <c r="B24" s="41" t="s">
        <v>82</v>
      </c>
      <c r="C24" s="41" t="s">
        <v>83</v>
      </c>
      <c r="D24" s="42"/>
      <c r="E24" s="14"/>
      <c r="F24" s="41" t="s">
        <v>36</v>
      </c>
      <c r="G24" s="30">
        <v>44958</v>
      </c>
      <c r="H24" s="40">
        <v>4</v>
      </c>
      <c r="J24" s="15">
        <v>30</v>
      </c>
      <c r="K24" s="38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35</v>
      </c>
      <c r="C25" s="41" t="s">
        <v>64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2410.81</v>
      </c>
      <c r="L25" s="62"/>
      <c r="M25" s="43">
        <v>0</v>
      </c>
      <c r="N25" s="62">
        <f t="shared" si="0"/>
        <v>2410.81</v>
      </c>
      <c r="O25" s="62">
        <f t="shared" si="1"/>
        <v>241.08100000000002</v>
      </c>
      <c r="P25" s="62">
        <f t="shared" si="2"/>
        <v>41.224851000000001</v>
      </c>
      <c r="Q25" s="62">
        <f t="shared" si="3"/>
        <v>12.05405</v>
      </c>
      <c r="R25" s="62">
        <f t="shared" si="4"/>
        <v>12.05405</v>
      </c>
      <c r="S25" s="43">
        <v>0</v>
      </c>
      <c r="T25" s="43">
        <f t="shared" si="5"/>
        <v>306.41395100000005</v>
      </c>
      <c r="U25" s="43">
        <f t="shared" si="6"/>
        <v>2104.3960489999999</v>
      </c>
      <c r="V25" s="44"/>
      <c r="X25" s="45"/>
    </row>
    <row r="26" spans="1:24" ht="22.5" customHeight="1">
      <c r="A26" s="57">
        <v>16</v>
      </c>
      <c r="B26" s="41" t="s">
        <v>77</v>
      </c>
      <c r="C26" s="41" t="s">
        <v>78</v>
      </c>
      <c r="D26" s="42"/>
      <c r="E26" s="14"/>
      <c r="F26" s="41" t="s">
        <v>32</v>
      </c>
      <c r="G26" s="30">
        <v>44958</v>
      </c>
      <c r="H26" s="40">
        <v>5</v>
      </c>
      <c r="J26" s="15">
        <v>30</v>
      </c>
      <c r="K26" s="38">
        <v>2472</v>
      </c>
      <c r="L26" s="62"/>
      <c r="M26" s="43">
        <v>0</v>
      </c>
      <c r="N26" s="62">
        <f t="shared" si="0"/>
        <v>2472</v>
      </c>
      <c r="O26" s="62">
        <f t="shared" si="1"/>
        <v>247.20000000000002</v>
      </c>
      <c r="P26" s="62">
        <f t="shared" si="2"/>
        <v>42.2712</v>
      </c>
      <c r="Q26" s="62">
        <f t="shared" si="3"/>
        <v>12.36</v>
      </c>
      <c r="R26" s="62">
        <f t="shared" si="4"/>
        <v>12.36</v>
      </c>
      <c r="S26" s="43">
        <v>0</v>
      </c>
      <c r="T26" s="43">
        <f t="shared" si="5"/>
        <v>314.19120000000004</v>
      </c>
      <c r="U26" s="43">
        <f t="shared" si="6"/>
        <v>2157.8087999999998</v>
      </c>
      <c r="V26" s="44"/>
      <c r="X26" s="45"/>
    </row>
    <row r="27" spans="1:24" ht="22.5" customHeight="1">
      <c r="A27" s="57">
        <v>17</v>
      </c>
      <c r="B27" s="41" t="s">
        <v>41</v>
      </c>
      <c r="C27" s="41" t="s">
        <v>72</v>
      </c>
      <c r="D27" s="42"/>
      <c r="E27" s="14"/>
      <c r="F27" s="41" t="s">
        <v>73</v>
      </c>
      <c r="G27" s="30">
        <v>44958</v>
      </c>
      <c r="H27" s="40">
        <v>6</v>
      </c>
      <c r="J27" s="15">
        <v>30</v>
      </c>
      <c r="K27" s="38">
        <v>2362</v>
      </c>
      <c r="L27" s="62"/>
      <c r="M27" s="43">
        <v>0</v>
      </c>
      <c r="N27" s="62">
        <f>K27+M27</f>
        <v>2362</v>
      </c>
      <c r="O27" s="62">
        <f>+N27*0.1</f>
        <v>236.20000000000002</v>
      </c>
      <c r="P27" s="62">
        <f>+N27*0.0171</f>
        <v>40.3902</v>
      </c>
      <c r="Q27" s="62">
        <f>+N27*0.005</f>
        <v>11.81</v>
      </c>
      <c r="R27" s="62">
        <f>N27*0.5%</f>
        <v>11.81</v>
      </c>
      <c r="S27" s="43">
        <v>0</v>
      </c>
      <c r="T27" s="43">
        <f>+O27+P27+Q27+R27+S27</f>
        <v>300.21020000000004</v>
      </c>
      <c r="U27" s="43">
        <f>+N27-T27</f>
        <v>2061.7898</v>
      </c>
      <c r="V27" s="44"/>
      <c r="X27" s="45"/>
    </row>
    <row r="28" spans="1:24" ht="22.5" customHeight="1">
      <c r="A28" s="57">
        <v>18</v>
      </c>
      <c r="B28" s="70" t="s">
        <v>50</v>
      </c>
      <c r="C28" s="70" t="s">
        <v>66</v>
      </c>
      <c r="D28" s="71"/>
      <c r="E28" s="72"/>
      <c r="F28" s="70" t="s">
        <v>51</v>
      </c>
      <c r="G28" s="73">
        <v>44958</v>
      </c>
      <c r="H28" s="74">
        <v>5</v>
      </c>
      <c r="J28" s="75">
        <v>30</v>
      </c>
      <c r="K28" s="38">
        <v>2538.73</v>
      </c>
      <c r="L28" s="62"/>
      <c r="M28" s="43">
        <v>0</v>
      </c>
      <c r="N28" s="62">
        <f t="shared" si="0"/>
        <v>2538.73</v>
      </c>
      <c r="O28" s="62">
        <f t="shared" si="1"/>
        <v>253.87300000000002</v>
      </c>
      <c r="P28" s="62">
        <f t="shared" si="2"/>
        <v>43.412283000000002</v>
      </c>
      <c r="Q28" s="62">
        <f t="shared" si="3"/>
        <v>12.69365</v>
      </c>
      <c r="R28" s="62">
        <f t="shared" si="4"/>
        <v>12.69365</v>
      </c>
      <c r="S28" s="43">
        <v>0</v>
      </c>
      <c r="T28" s="43">
        <f t="shared" si="5"/>
        <v>322.67258300000003</v>
      </c>
      <c r="U28" s="43">
        <f t="shared" si="6"/>
        <v>2216.057417</v>
      </c>
      <c r="V28" s="44"/>
      <c r="X28" s="45"/>
    </row>
    <row r="29" spans="1:24" ht="22.5" customHeight="1">
      <c r="A29" s="57">
        <v>19</v>
      </c>
      <c r="B29" s="41" t="s">
        <v>183</v>
      </c>
      <c r="C29" s="41" t="s">
        <v>184</v>
      </c>
      <c r="D29" s="42"/>
      <c r="E29" s="14"/>
      <c r="F29" s="123" t="s">
        <v>185</v>
      </c>
      <c r="G29" s="30">
        <v>44958</v>
      </c>
      <c r="H29" s="122">
        <v>6</v>
      </c>
      <c r="I29" s="15">
        <v>30</v>
      </c>
      <c r="J29" s="75">
        <v>30</v>
      </c>
      <c r="K29" s="68">
        <v>3182.7</v>
      </c>
      <c r="L29" s="69"/>
      <c r="M29" s="43">
        <v>0</v>
      </c>
      <c r="N29" s="62">
        <f t="shared" si="0"/>
        <v>3182.7</v>
      </c>
      <c r="O29" s="62">
        <f t="shared" si="1"/>
        <v>318.27</v>
      </c>
      <c r="P29" s="62">
        <f t="shared" si="2"/>
        <v>54.424169999999997</v>
      </c>
      <c r="Q29" s="62">
        <f t="shared" si="3"/>
        <v>15.913499999999999</v>
      </c>
      <c r="R29" s="62">
        <f t="shared" si="4"/>
        <v>15.913499999999999</v>
      </c>
      <c r="S29" s="43">
        <v>0</v>
      </c>
      <c r="T29" s="43">
        <f t="shared" si="5"/>
        <v>404.52116999999998</v>
      </c>
      <c r="U29" s="43">
        <f t="shared" si="6"/>
        <v>2778.1788299999998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30">
        <v>44958</v>
      </c>
      <c r="H30" s="40">
        <v>5</v>
      </c>
      <c r="I30" s="76"/>
      <c r="J30" s="75">
        <v>30</v>
      </c>
      <c r="K30" s="68">
        <v>2362</v>
      </c>
      <c r="L30" s="69"/>
      <c r="M30" s="43">
        <v>0</v>
      </c>
      <c r="N30" s="62">
        <f t="shared" si="0"/>
        <v>2362</v>
      </c>
      <c r="O30" s="62">
        <f t="shared" si="1"/>
        <v>236.20000000000002</v>
      </c>
      <c r="P30" s="62">
        <f t="shared" si="2"/>
        <v>40.3902</v>
      </c>
      <c r="Q30" s="62">
        <f t="shared" si="3"/>
        <v>11.81</v>
      </c>
      <c r="R30" s="62">
        <f t="shared" si="4"/>
        <v>11.81</v>
      </c>
      <c r="S30" s="43">
        <v>0</v>
      </c>
      <c r="T30" s="43">
        <f t="shared" si="5"/>
        <v>300.21020000000004</v>
      </c>
      <c r="U30" s="43">
        <f t="shared" si="6"/>
        <v>2061.7898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55569.56</v>
      </c>
      <c r="L32" s="32"/>
      <c r="M32" s="32">
        <f t="shared" ref="M32" si="7">SUM(M13:M28)</f>
        <v>779.63</v>
      </c>
      <c r="N32" s="32">
        <f>SUM(N11:N31)</f>
        <v>56349.19</v>
      </c>
      <c r="O32" s="32">
        <f>SUM(O11:O31)</f>
        <v>5634.9189999999981</v>
      </c>
      <c r="P32" s="32">
        <f>SUM(P11:P31)</f>
        <v>963.57114900000033</v>
      </c>
      <c r="Q32" s="32">
        <f>SUM(Q11:Q31)</f>
        <v>281.74594999999999</v>
      </c>
      <c r="R32" s="32">
        <f>SUM(R11:R31)</f>
        <v>281.74594999999999</v>
      </c>
      <c r="S32" s="32">
        <f>SUM(S13:S31)</f>
        <v>0</v>
      </c>
      <c r="T32" s="32">
        <f>SUM(T11:T31)</f>
        <v>7161.982049000002</v>
      </c>
      <c r="U32" s="32">
        <f>SUM(U11:U31)</f>
        <v>49187.207950999997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7161.982049000002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197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7" orientation="landscape" horizont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Z37"/>
  <sheetViews>
    <sheetView topLeftCell="A5" workbookViewId="0">
      <selection activeCell="M21" sqref="M21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200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30</v>
      </c>
      <c r="K26" s="38">
        <v>2410.81</v>
      </c>
      <c r="L26" s="62"/>
      <c r="M26" s="43">
        <v>0</v>
      </c>
      <c r="N26" s="62">
        <f t="shared" si="0"/>
        <v>2410.81</v>
      </c>
      <c r="O26" s="62">
        <f t="shared" si="1"/>
        <v>241.08100000000002</v>
      </c>
      <c r="P26" s="62">
        <f t="shared" si="2"/>
        <v>41.224851000000001</v>
      </c>
      <c r="Q26" s="62">
        <f t="shared" si="3"/>
        <v>12.05405</v>
      </c>
      <c r="R26" s="62">
        <f t="shared" si="4"/>
        <v>12.05405</v>
      </c>
      <c r="S26" s="43">
        <v>0</v>
      </c>
      <c r="T26" s="43">
        <f t="shared" si="5"/>
        <v>306.41395100000005</v>
      </c>
      <c r="U26" s="43">
        <f t="shared" si="6"/>
        <v>2104.3960489999999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30</v>
      </c>
      <c r="K27" s="38">
        <v>2472</v>
      </c>
      <c r="L27" s="62"/>
      <c r="M27" s="43">
        <v>0</v>
      </c>
      <c r="N27" s="62">
        <f t="shared" si="0"/>
        <v>2472</v>
      </c>
      <c r="O27" s="62">
        <f t="shared" si="1"/>
        <v>247.20000000000002</v>
      </c>
      <c r="P27" s="62">
        <f t="shared" si="2"/>
        <v>42.2712</v>
      </c>
      <c r="Q27" s="62">
        <f t="shared" si="3"/>
        <v>12.36</v>
      </c>
      <c r="R27" s="62">
        <f t="shared" si="4"/>
        <v>12.36</v>
      </c>
      <c r="S27" s="43">
        <v>0</v>
      </c>
      <c r="T27" s="43">
        <f t="shared" si="5"/>
        <v>314.19120000000004</v>
      </c>
      <c r="U27" s="43">
        <f t="shared" si="6"/>
        <v>2157.8087999999998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30</v>
      </c>
      <c r="K28" s="38">
        <v>2362</v>
      </c>
      <c r="L28" s="62"/>
      <c r="M28" s="43">
        <v>0</v>
      </c>
      <c r="N28" s="62">
        <f>K28+M28</f>
        <v>2362</v>
      </c>
      <c r="O28" s="62">
        <f>+N28*0.1</f>
        <v>236.20000000000002</v>
      </c>
      <c r="P28" s="62">
        <f>+N28*0.0171</f>
        <v>40.3902</v>
      </c>
      <c r="Q28" s="62">
        <f>+N28*0.005</f>
        <v>11.81</v>
      </c>
      <c r="R28" s="62">
        <f>N28*0.5%</f>
        <v>11.81</v>
      </c>
      <c r="S28" s="43">
        <v>0</v>
      </c>
      <c r="T28" s="43">
        <f>+O28+P28+Q28+R28+S28</f>
        <v>300.21020000000004</v>
      </c>
      <c r="U28" s="43">
        <f>+N28-T28</f>
        <v>2061.7898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30</v>
      </c>
      <c r="K29" s="38">
        <v>2538.73</v>
      </c>
      <c r="L29" s="62"/>
      <c r="M29" s="43">
        <v>0</v>
      </c>
      <c r="N29" s="62">
        <f t="shared" si="0"/>
        <v>2538.73</v>
      </c>
      <c r="O29" s="62">
        <f t="shared" si="1"/>
        <v>253.87300000000002</v>
      </c>
      <c r="P29" s="62">
        <f t="shared" si="2"/>
        <v>43.412283000000002</v>
      </c>
      <c r="Q29" s="62">
        <f t="shared" si="3"/>
        <v>12.69365</v>
      </c>
      <c r="R29" s="62">
        <f t="shared" si="4"/>
        <v>12.69365</v>
      </c>
      <c r="S29" s="43">
        <v>0</v>
      </c>
      <c r="T29" s="43">
        <f t="shared" si="5"/>
        <v>322.67258300000003</v>
      </c>
      <c r="U29" s="43">
        <f t="shared" si="6"/>
        <v>2216.057417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30</v>
      </c>
      <c r="K30" s="68">
        <v>3182.7</v>
      </c>
      <c r="L30" s="69"/>
      <c r="M30" s="43">
        <v>0</v>
      </c>
      <c r="N30" s="62">
        <f t="shared" si="0"/>
        <v>3182.7</v>
      </c>
      <c r="O30" s="62">
        <f t="shared" si="1"/>
        <v>318.27</v>
      </c>
      <c r="P30" s="62">
        <f t="shared" si="2"/>
        <v>54.424169999999997</v>
      </c>
      <c r="Q30" s="62">
        <f t="shared" si="3"/>
        <v>15.913499999999999</v>
      </c>
      <c r="R30" s="62">
        <f t="shared" si="4"/>
        <v>15.913499999999999</v>
      </c>
      <c r="S30" s="43">
        <v>0</v>
      </c>
      <c r="T30" s="43">
        <f t="shared" si="5"/>
        <v>404.52116999999998</v>
      </c>
      <c r="U30" s="43">
        <f t="shared" si="6"/>
        <v>2778.1788299999998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58144.56</v>
      </c>
      <c r="L33" s="32"/>
      <c r="M33" s="32">
        <f t="shared" ref="M33" si="7">SUM(M13:M29)</f>
        <v>779.46</v>
      </c>
      <c r="N33" s="32">
        <f>SUM(N11:N32)</f>
        <v>58924.02</v>
      </c>
      <c r="O33" s="32">
        <f>SUM(O11:O32)</f>
        <v>5892.4019999999982</v>
      </c>
      <c r="P33" s="32">
        <f>SUM(P11:P32)</f>
        <v>1007.6007420000003</v>
      </c>
      <c r="Q33" s="32">
        <f>SUM(Q11:Q32)</f>
        <v>294.62010000000004</v>
      </c>
      <c r="R33" s="32">
        <f>SUM(R11:R32)</f>
        <v>294.62010000000004</v>
      </c>
      <c r="S33" s="32">
        <f>SUM(S13:S32)</f>
        <v>0</v>
      </c>
      <c r="T33" s="32">
        <f>SUM(T11:T32)</f>
        <v>7489.2429420000026</v>
      </c>
      <c r="U33" s="32">
        <f>SUM(U11:U32)</f>
        <v>51434.777057999985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7489.2429420000026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198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  <mergeCell ref="U8:U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Z37"/>
  <sheetViews>
    <sheetView topLeftCell="A6" workbookViewId="0">
      <selection activeCell="X20" sqref="X20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201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30</v>
      </c>
      <c r="K26" s="38">
        <v>2410.81</v>
      </c>
      <c r="L26" s="62"/>
      <c r="M26" s="43">
        <v>0</v>
      </c>
      <c r="N26" s="62">
        <f t="shared" si="0"/>
        <v>2410.81</v>
      </c>
      <c r="O26" s="62">
        <f t="shared" si="1"/>
        <v>241.08100000000002</v>
      </c>
      <c r="P26" s="62">
        <f t="shared" si="2"/>
        <v>41.224851000000001</v>
      </c>
      <c r="Q26" s="62">
        <f t="shared" si="3"/>
        <v>12.05405</v>
      </c>
      <c r="R26" s="62">
        <f t="shared" si="4"/>
        <v>12.05405</v>
      </c>
      <c r="S26" s="43">
        <v>0</v>
      </c>
      <c r="T26" s="43">
        <f t="shared" si="5"/>
        <v>306.41395100000005</v>
      </c>
      <c r="U26" s="43">
        <f t="shared" si="6"/>
        <v>2104.3960489999999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30</v>
      </c>
      <c r="K27" s="38">
        <v>2472</v>
      </c>
      <c r="L27" s="62"/>
      <c r="M27" s="43">
        <v>0</v>
      </c>
      <c r="N27" s="62">
        <f t="shared" si="0"/>
        <v>2472</v>
      </c>
      <c r="O27" s="62">
        <f t="shared" si="1"/>
        <v>247.20000000000002</v>
      </c>
      <c r="P27" s="62">
        <f t="shared" si="2"/>
        <v>42.2712</v>
      </c>
      <c r="Q27" s="62">
        <f t="shared" si="3"/>
        <v>12.36</v>
      </c>
      <c r="R27" s="62">
        <f t="shared" si="4"/>
        <v>12.36</v>
      </c>
      <c r="S27" s="43">
        <v>0</v>
      </c>
      <c r="T27" s="43">
        <f t="shared" si="5"/>
        <v>314.19120000000004</v>
      </c>
      <c r="U27" s="43">
        <f t="shared" si="6"/>
        <v>2157.8087999999998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30</v>
      </c>
      <c r="K28" s="38">
        <v>2362</v>
      </c>
      <c r="L28" s="62"/>
      <c r="M28" s="43">
        <v>0</v>
      </c>
      <c r="N28" s="62">
        <f>K28+M28</f>
        <v>2362</v>
      </c>
      <c r="O28" s="62">
        <f>+N28*0.1</f>
        <v>236.20000000000002</v>
      </c>
      <c r="P28" s="62">
        <f>+N28*0.0171</f>
        <v>40.3902</v>
      </c>
      <c r="Q28" s="62">
        <f>+N28*0.005</f>
        <v>11.81</v>
      </c>
      <c r="R28" s="62">
        <f>N28*0.5%</f>
        <v>11.81</v>
      </c>
      <c r="S28" s="43">
        <v>0</v>
      </c>
      <c r="T28" s="43">
        <f>+O28+P28+Q28+R28+S28</f>
        <v>300.21020000000004</v>
      </c>
      <c r="U28" s="43">
        <f>+N28-T28</f>
        <v>2061.7898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30</v>
      </c>
      <c r="K29" s="38">
        <v>2538.73</v>
      </c>
      <c r="L29" s="62"/>
      <c r="M29" s="43">
        <v>0</v>
      </c>
      <c r="N29" s="62">
        <f t="shared" si="0"/>
        <v>2538.73</v>
      </c>
      <c r="O29" s="62">
        <f t="shared" si="1"/>
        <v>253.87300000000002</v>
      </c>
      <c r="P29" s="62">
        <f t="shared" si="2"/>
        <v>43.412283000000002</v>
      </c>
      <c r="Q29" s="62">
        <f t="shared" si="3"/>
        <v>12.69365</v>
      </c>
      <c r="R29" s="62">
        <f t="shared" si="4"/>
        <v>12.69365</v>
      </c>
      <c r="S29" s="43">
        <v>0</v>
      </c>
      <c r="T29" s="43">
        <f t="shared" si="5"/>
        <v>322.67258300000003</v>
      </c>
      <c r="U29" s="43">
        <f t="shared" si="6"/>
        <v>2216.057417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30</v>
      </c>
      <c r="K30" s="68">
        <v>3182.7</v>
      </c>
      <c r="L30" s="69"/>
      <c r="M30" s="43">
        <v>0</v>
      </c>
      <c r="N30" s="62">
        <f t="shared" si="0"/>
        <v>3182.7</v>
      </c>
      <c r="O30" s="62">
        <f t="shared" si="1"/>
        <v>318.27</v>
      </c>
      <c r="P30" s="62">
        <f t="shared" si="2"/>
        <v>54.424169999999997</v>
      </c>
      <c r="Q30" s="62">
        <f t="shared" si="3"/>
        <v>15.913499999999999</v>
      </c>
      <c r="R30" s="62">
        <f t="shared" si="4"/>
        <v>15.913499999999999</v>
      </c>
      <c r="S30" s="43">
        <v>0</v>
      </c>
      <c r="T30" s="43">
        <f t="shared" si="5"/>
        <v>404.52116999999998</v>
      </c>
      <c r="U30" s="43">
        <f t="shared" si="6"/>
        <v>2778.1788299999998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58144.56</v>
      </c>
      <c r="L33" s="32"/>
      <c r="M33" s="32">
        <f t="shared" ref="M33" si="7">SUM(M13:M29)</f>
        <v>779.46</v>
      </c>
      <c r="N33" s="32">
        <f>SUM(N11:N32)</f>
        <v>58924.02</v>
      </c>
      <c r="O33" s="32">
        <f>SUM(O11:O32)</f>
        <v>5892.4019999999982</v>
      </c>
      <c r="P33" s="32">
        <f>SUM(P11:P32)</f>
        <v>1007.6007420000003</v>
      </c>
      <c r="Q33" s="32">
        <f>SUM(Q11:Q32)</f>
        <v>294.62010000000004</v>
      </c>
      <c r="R33" s="32">
        <f>SUM(R11:R32)</f>
        <v>294.62010000000004</v>
      </c>
      <c r="S33" s="32">
        <f>SUM(S13:S32)</f>
        <v>0</v>
      </c>
      <c r="T33" s="32">
        <f>SUM(T11:T32)</f>
        <v>7489.2429420000026</v>
      </c>
      <c r="U33" s="32">
        <f>SUM(U11:U32)</f>
        <v>51434.777057999985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7489.2429420000026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202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Z37"/>
  <sheetViews>
    <sheetView topLeftCell="A5" workbookViewId="0">
      <selection activeCell="X24" sqref="X24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203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4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52" t="s">
        <v>15</v>
      </c>
      <c r="K9" s="235"/>
      <c r="L9" s="4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4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30</v>
      </c>
      <c r="K26" s="38">
        <v>2410.81</v>
      </c>
      <c r="L26" s="62"/>
      <c r="M26" s="43">
        <v>0</v>
      </c>
      <c r="N26" s="62">
        <f t="shared" si="0"/>
        <v>2410.81</v>
      </c>
      <c r="O26" s="62">
        <f t="shared" si="1"/>
        <v>241.08100000000002</v>
      </c>
      <c r="P26" s="62">
        <f t="shared" si="2"/>
        <v>41.224851000000001</v>
      </c>
      <c r="Q26" s="62">
        <f t="shared" si="3"/>
        <v>12.05405</v>
      </c>
      <c r="R26" s="62">
        <f t="shared" si="4"/>
        <v>12.05405</v>
      </c>
      <c r="S26" s="43">
        <v>0</v>
      </c>
      <c r="T26" s="43">
        <f t="shared" si="5"/>
        <v>306.41395100000005</v>
      </c>
      <c r="U26" s="43">
        <f t="shared" si="6"/>
        <v>2104.3960489999999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30</v>
      </c>
      <c r="K27" s="38">
        <v>2472</v>
      </c>
      <c r="L27" s="62"/>
      <c r="M27" s="43">
        <v>0</v>
      </c>
      <c r="N27" s="62">
        <f t="shared" si="0"/>
        <v>2472</v>
      </c>
      <c r="O27" s="62">
        <f t="shared" si="1"/>
        <v>247.20000000000002</v>
      </c>
      <c r="P27" s="62">
        <f t="shared" si="2"/>
        <v>42.2712</v>
      </c>
      <c r="Q27" s="62">
        <f t="shared" si="3"/>
        <v>12.36</v>
      </c>
      <c r="R27" s="62">
        <f t="shared" si="4"/>
        <v>12.36</v>
      </c>
      <c r="S27" s="43">
        <v>0</v>
      </c>
      <c r="T27" s="43">
        <f t="shared" si="5"/>
        <v>314.19120000000004</v>
      </c>
      <c r="U27" s="43">
        <f t="shared" si="6"/>
        <v>2157.8087999999998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30</v>
      </c>
      <c r="K28" s="38">
        <v>2362</v>
      </c>
      <c r="L28" s="62"/>
      <c r="M28" s="43">
        <v>0</v>
      </c>
      <c r="N28" s="62">
        <f>K28+M28</f>
        <v>2362</v>
      </c>
      <c r="O28" s="62">
        <f>+N28*0.1</f>
        <v>236.20000000000002</v>
      </c>
      <c r="P28" s="62">
        <f>+N28*0.0171</f>
        <v>40.3902</v>
      </c>
      <c r="Q28" s="62">
        <f>+N28*0.005</f>
        <v>11.81</v>
      </c>
      <c r="R28" s="62">
        <f>N28*0.5%</f>
        <v>11.81</v>
      </c>
      <c r="S28" s="43">
        <v>0</v>
      </c>
      <c r="T28" s="43">
        <f>+O28+P28+Q28+R28+S28</f>
        <v>300.21020000000004</v>
      </c>
      <c r="U28" s="43">
        <f>+N28-T28</f>
        <v>2061.7898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30</v>
      </c>
      <c r="K29" s="38">
        <v>2538.73</v>
      </c>
      <c r="L29" s="62"/>
      <c r="M29" s="43">
        <v>0</v>
      </c>
      <c r="N29" s="62">
        <f t="shared" si="0"/>
        <v>2538.73</v>
      </c>
      <c r="O29" s="62">
        <f t="shared" si="1"/>
        <v>253.87300000000002</v>
      </c>
      <c r="P29" s="62">
        <f t="shared" si="2"/>
        <v>43.412283000000002</v>
      </c>
      <c r="Q29" s="62">
        <f t="shared" si="3"/>
        <v>12.69365</v>
      </c>
      <c r="R29" s="62">
        <f t="shared" si="4"/>
        <v>12.69365</v>
      </c>
      <c r="S29" s="43">
        <v>0</v>
      </c>
      <c r="T29" s="43">
        <f t="shared" si="5"/>
        <v>322.67258300000003</v>
      </c>
      <c r="U29" s="43">
        <f t="shared" si="6"/>
        <v>2216.057417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30</v>
      </c>
      <c r="K30" s="68">
        <v>3182.7</v>
      </c>
      <c r="L30" s="69"/>
      <c r="M30" s="43">
        <v>0</v>
      </c>
      <c r="N30" s="62">
        <f t="shared" si="0"/>
        <v>3182.7</v>
      </c>
      <c r="O30" s="62">
        <f t="shared" si="1"/>
        <v>318.27</v>
      </c>
      <c r="P30" s="62">
        <f t="shared" si="2"/>
        <v>54.424169999999997</v>
      </c>
      <c r="Q30" s="62">
        <f t="shared" si="3"/>
        <v>15.913499999999999</v>
      </c>
      <c r="R30" s="62">
        <f t="shared" si="4"/>
        <v>15.913499999999999</v>
      </c>
      <c r="S30" s="43">
        <v>0</v>
      </c>
      <c r="T30" s="43">
        <f t="shared" si="5"/>
        <v>404.52116999999998</v>
      </c>
      <c r="U30" s="43">
        <f t="shared" si="6"/>
        <v>2778.1788299999998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58144.56</v>
      </c>
      <c r="L33" s="32"/>
      <c r="M33" s="32">
        <f t="shared" ref="M33" si="7">SUM(M13:M29)</f>
        <v>779.46</v>
      </c>
      <c r="N33" s="32">
        <f>SUM(N11:N32)</f>
        <v>58924.02</v>
      </c>
      <c r="O33" s="32">
        <f>SUM(O11:O32)</f>
        <v>5892.4019999999982</v>
      </c>
      <c r="P33" s="32">
        <f>SUM(P11:P32)</f>
        <v>1007.6007420000003</v>
      </c>
      <c r="Q33" s="32">
        <f>SUM(Q11:Q32)</f>
        <v>294.62010000000004</v>
      </c>
      <c r="R33" s="32">
        <f>SUM(R11:R32)</f>
        <v>294.62010000000004</v>
      </c>
      <c r="S33" s="32">
        <f>SUM(S13:S32)</f>
        <v>0</v>
      </c>
      <c r="T33" s="32">
        <f>SUM(T11:T32)</f>
        <v>7489.2429420000026</v>
      </c>
      <c r="U33" s="32">
        <f>SUM(U11:U32)</f>
        <v>51434.777057999985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7489.2429420000026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204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Z37"/>
  <sheetViews>
    <sheetView topLeftCell="A5" workbookViewId="0">
      <selection activeCell="X24" sqref="X24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203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32" t="s">
        <v>15</v>
      </c>
      <c r="K9" s="235"/>
      <c r="L9" s="13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3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30</v>
      </c>
      <c r="K26" s="38">
        <v>2410.81</v>
      </c>
      <c r="L26" s="62"/>
      <c r="M26" s="43">
        <v>0</v>
      </c>
      <c r="N26" s="62">
        <f t="shared" si="0"/>
        <v>2410.81</v>
      </c>
      <c r="O26" s="62">
        <f t="shared" si="1"/>
        <v>241.08100000000002</v>
      </c>
      <c r="P26" s="62">
        <f t="shared" si="2"/>
        <v>41.224851000000001</v>
      </c>
      <c r="Q26" s="62">
        <f t="shared" si="3"/>
        <v>12.05405</v>
      </c>
      <c r="R26" s="62">
        <f t="shared" si="4"/>
        <v>12.05405</v>
      </c>
      <c r="S26" s="43">
        <v>0</v>
      </c>
      <c r="T26" s="43">
        <f t="shared" si="5"/>
        <v>306.41395100000005</v>
      </c>
      <c r="U26" s="43">
        <f t="shared" si="6"/>
        <v>2104.3960489999999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30</v>
      </c>
      <c r="K27" s="38">
        <v>2472</v>
      </c>
      <c r="L27" s="62"/>
      <c r="M27" s="43">
        <v>0</v>
      </c>
      <c r="N27" s="62">
        <f t="shared" si="0"/>
        <v>2472</v>
      </c>
      <c r="O27" s="62">
        <f t="shared" si="1"/>
        <v>247.20000000000002</v>
      </c>
      <c r="P27" s="62">
        <f t="shared" si="2"/>
        <v>42.2712</v>
      </c>
      <c r="Q27" s="62">
        <f t="shared" si="3"/>
        <v>12.36</v>
      </c>
      <c r="R27" s="62">
        <f t="shared" si="4"/>
        <v>12.36</v>
      </c>
      <c r="S27" s="43">
        <v>0</v>
      </c>
      <c r="T27" s="43">
        <f t="shared" si="5"/>
        <v>314.19120000000004</v>
      </c>
      <c r="U27" s="43">
        <f t="shared" si="6"/>
        <v>2157.8087999999998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30</v>
      </c>
      <c r="K28" s="38">
        <v>2362</v>
      </c>
      <c r="L28" s="62"/>
      <c r="M28" s="43">
        <v>0</v>
      </c>
      <c r="N28" s="62">
        <f>K28+M28</f>
        <v>2362</v>
      </c>
      <c r="O28" s="62">
        <f>+N28*0.1</f>
        <v>236.20000000000002</v>
      </c>
      <c r="P28" s="62">
        <f>+N28*0.0171</f>
        <v>40.3902</v>
      </c>
      <c r="Q28" s="62">
        <f>+N28*0.005</f>
        <v>11.81</v>
      </c>
      <c r="R28" s="62">
        <f>N28*0.5%</f>
        <v>11.81</v>
      </c>
      <c r="S28" s="43">
        <v>0</v>
      </c>
      <c r="T28" s="43">
        <f>+O28+P28+Q28+R28+S28</f>
        <v>300.21020000000004</v>
      </c>
      <c r="U28" s="43">
        <f>+N28-T28</f>
        <v>2061.7898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30</v>
      </c>
      <c r="K29" s="38">
        <v>2538.73</v>
      </c>
      <c r="L29" s="62"/>
      <c r="M29" s="43">
        <v>0</v>
      </c>
      <c r="N29" s="62">
        <f t="shared" si="0"/>
        <v>2538.73</v>
      </c>
      <c r="O29" s="62">
        <f t="shared" si="1"/>
        <v>253.87300000000002</v>
      </c>
      <c r="P29" s="62">
        <f t="shared" si="2"/>
        <v>43.412283000000002</v>
      </c>
      <c r="Q29" s="62">
        <f t="shared" si="3"/>
        <v>12.69365</v>
      </c>
      <c r="R29" s="62">
        <f t="shared" si="4"/>
        <v>12.69365</v>
      </c>
      <c r="S29" s="43">
        <v>0</v>
      </c>
      <c r="T29" s="43">
        <f t="shared" si="5"/>
        <v>322.67258300000003</v>
      </c>
      <c r="U29" s="43">
        <f t="shared" si="6"/>
        <v>2216.057417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30</v>
      </c>
      <c r="K30" s="68">
        <v>3182.7</v>
      </c>
      <c r="L30" s="69"/>
      <c r="M30" s="43">
        <v>0</v>
      </c>
      <c r="N30" s="62">
        <f t="shared" si="0"/>
        <v>3182.7</v>
      </c>
      <c r="O30" s="62">
        <f t="shared" si="1"/>
        <v>318.27</v>
      </c>
      <c r="P30" s="62">
        <f t="shared" si="2"/>
        <v>54.424169999999997</v>
      </c>
      <c r="Q30" s="62">
        <f t="shared" si="3"/>
        <v>15.913499999999999</v>
      </c>
      <c r="R30" s="62">
        <f t="shared" si="4"/>
        <v>15.913499999999999</v>
      </c>
      <c r="S30" s="43">
        <v>0</v>
      </c>
      <c r="T30" s="43">
        <f t="shared" si="5"/>
        <v>404.52116999999998</v>
      </c>
      <c r="U30" s="43">
        <f t="shared" si="6"/>
        <v>2778.1788299999998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58144.56</v>
      </c>
      <c r="L33" s="32"/>
      <c r="M33" s="32">
        <f t="shared" ref="M33" si="7">SUM(M13:M29)</f>
        <v>779.46</v>
      </c>
      <c r="N33" s="32">
        <f>SUM(N11:N32)</f>
        <v>58924.02</v>
      </c>
      <c r="O33" s="32">
        <f>SUM(O11:O32)</f>
        <v>5892.4019999999982</v>
      </c>
      <c r="P33" s="32">
        <f>SUM(P11:P32)</f>
        <v>1007.6007420000003</v>
      </c>
      <c r="Q33" s="32">
        <f>SUM(Q11:Q32)</f>
        <v>294.62010000000004</v>
      </c>
      <c r="R33" s="32">
        <f>SUM(R11:R32)</f>
        <v>294.62010000000004</v>
      </c>
      <c r="S33" s="32">
        <f>SUM(S13:S32)</f>
        <v>0</v>
      </c>
      <c r="T33" s="32">
        <f>SUM(T11:T32)</f>
        <v>7489.2429420000026</v>
      </c>
      <c r="U33" s="32">
        <f>SUM(U11:U32)</f>
        <v>51434.777057999985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7489.2429420000026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204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Z37"/>
  <sheetViews>
    <sheetView topLeftCell="A8" workbookViewId="0">
      <selection activeCell="K38" sqref="K3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32" t="s">
        <v>15</v>
      </c>
      <c r="K9" s="235"/>
      <c r="L9" s="13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3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30</v>
      </c>
      <c r="K26" s="38">
        <v>2410.81</v>
      </c>
      <c r="L26" s="62"/>
      <c r="M26" s="43">
        <v>0</v>
      </c>
      <c r="N26" s="62">
        <f t="shared" si="0"/>
        <v>2410.81</v>
      </c>
      <c r="O26" s="62">
        <f t="shared" si="1"/>
        <v>241.08100000000002</v>
      </c>
      <c r="P26" s="62">
        <f t="shared" si="2"/>
        <v>41.224851000000001</v>
      </c>
      <c r="Q26" s="62">
        <f t="shared" si="3"/>
        <v>12.05405</v>
      </c>
      <c r="R26" s="62">
        <f t="shared" si="4"/>
        <v>12.05405</v>
      </c>
      <c r="S26" s="43">
        <v>0</v>
      </c>
      <c r="T26" s="43">
        <f t="shared" si="5"/>
        <v>306.41395100000005</v>
      </c>
      <c r="U26" s="43">
        <f t="shared" si="6"/>
        <v>2104.3960489999999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30</v>
      </c>
      <c r="K27" s="38">
        <v>2472</v>
      </c>
      <c r="L27" s="62"/>
      <c r="M27" s="43">
        <v>0</v>
      </c>
      <c r="N27" s="62">
        <f t="shared" si="0"/>
        <v>2472</v>
      </c>
      <c r="O27" s="62">
        <f t="shared" si="1"/>
        <v>247.20000000000002</v>
      </c>
      <c r="P27" s="62">
        <f t="shared" si="2"/>
        <v>42.2712</v>
      </c>
      <c r="Q27" s="62">
        <f t="shared" si="3"/>
        <v>12.36</v>
      </c>
      <c r="R27" s="62">
        <f t="shared" si="4"/>
        <v>12.36</v>
      </c>
      <c r="S27" s="43">
        <v>0</v>
      </c>
      <c r="T27" s="43">
        <f t="shared" si="5"/>
        <v>314.19120000000004</v>
      </c>
      <c r="U27" s="43">
        <f t="shared" si="6"/>
        <v>2157.8087999999998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30</v>
      </c>
      <c r="K28" s="38">
        <v>2362</v>
      </c>
      <c r="L28" s="62"/>
      <c r="M28" s="43">
        <v>0</v>
      </c>
      <c r="N28" s="62">
        <f>K28+M28</f>
        <v>2362</v>
      </c>
      <c r="O28" s="62">
        <f>+N28*0.1</f>
        <v>236.20000000000002</v>
      </c>
      <c r="P28" s="62">
        <f>+N28*0.0171</f>
        <v>40.3902</v>
      </c>
      <c r="Q28" s="62">
        <f>+N28*0.005</f>
        <v>11.81</v>
      </c>
      <c r="R28" s="62">
        <f>N28*0.5%</f>
        <v>11.81</v>
      </c>
      <c r="S28" s="43">
        <v>0</v>
      </c>
      <c r="T28" s="43">
        <f>+O28+P28+Q28+R28+S28</f>
        <v>300.21020000000004</v>
      </c>
      <c r="U28" s="43">
        <f>+N28-T28</f>
        <v>2061.7898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30</v>
      </c>
      <c r="K29" s="38">
        <v>2538.73</v>
      </c>
      <c r="L29" s="62"/>
      <c r="M29" s="43">
        <v>0</v>
      </c>
      <c r="N29" s="62">
        <f t="shared" si="0"/>
        <v>2538.73</v>
      </c>
      <c r="O29" s="62">
        <f t="shared" si="1"/>
        <v>253.87300000000002</v>
      </c>
      <c r="P29" s="62">
        <f t="shared" si="2"/>
        <v>43.412283000000002</v>
      </c>
      <c r="Q29" s="62">
        <f t="shared" si="3"/>
        <v>12.69365</v>
      </c>
      <c r="R29" s="62">
        <f t="shared" si="4"/>
        <v>12.69365</v>
      </c>
      <c r="S29" s="43">
        <v>0</v>
      </c>
      <c r="T29" s="43">
        <f t="shared" si="5"/>
        <v>322.67258300000003</v>
      </c>
      <c r="U29" s="43">
        <f t="shared" si="6"/>
        <v>2216.057417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30</v>
      </c>
      <c r="K30" s="68">
        <v>3182.7</v>
      </c>
      <c r="L30" s="69"/>
      <c r="M30" s="43">
        <v>0</v>
      </c>
      <c r="N30" s="62">
        <f t="shared" si="0"/>
        <v>3182.7</v>
      </c>
      <c r="O30" s="62">
        <f t="shared" si="1"/>
        <v>318.27</v>
      </c>
      <c r="P30" s="62">
        <f t="shared" si="2"/>
        <v>54.424169999999997</v>
      </c>
      <c r="Q30" s="62">
        <f t="shared" si="3"/>
        <v>15.913499999999999</v>
      </c>
      <c r="R30" s="62">
        <f t="shared" si="4"/>
        <v>15.913499999999999</v>
      </c>
      <c r="S30" s="43">
        <v>0</v>
      </c>
      <c r="T30" s="43">
        <f t="shared" si="5"/>
        <v>404.52116999999998</v>
      </c>
      <c r="U30" s="43">
        <f t="shared" si="6"/>
        <v>2778.1788299999998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58144.56</v>
      </c>
      <c r="L33" s="32"/>
      <c r="M33" s="32">
        <f t="shared" ref="M33" si="7">SUM(M13:M29)</f>
        <v>779.46</v>
      </c>
      <c r="N33" s="32">
        <f>SUM(N11:N32)</f>
        <v>58924.02</v>
      </c>
      <c r="O33" s="32">
        <f>SUM(O11:O32)</f>
        <v>5892.4019999999982</v>
      </c>
      <c r="P33" s="32">
        <f>SUM(P11:P32)</f>
        <v>1007.6007420000003</v>
      </c>
      <c r="Q33" s="32">
        <f>SUM(Q11:Q32)</f>
        <v>294.62010000000004</v>
      </c>
      <c r="R33" s="32">
        <f>SUM(R11:R32)</f>
        <v>294.62010000000004</v>
      </c>
      <c r="S33" s="32">
        <f>SUM(S13:S32)</f>
        <v>0</v>
      </c>
      <c r="T33" s="32">
        <f>SUM(T11:T32)</f>
        <v>7489.2429420000026</v>
      </c>
      <c r="U33" s="32">
        <f>SUM(U11:U32)</f>
        <v>51434.777057999985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7489.2429420000026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208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Z37"/>
  <sheetViews>
    <sheetView workbookViewId="0">
      <selection activeCell="X24" sqref="X24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203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32" t="s">
        <v>15</v>
      </c>
      <c r="K9" s="235"/>
      <c r="L9" s="13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3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30</v>
      </c>
      <c r="K26" s="38">
        <v>2410.81</v>
      </c>
      <c r="L26" s="62"/>
      <c r="M26" s="43">
        <v>0</v>
      </c>
      <c r="N26" s="62">
        <f t="shared" si="0"/>
        <v>2410.81</v>
      </c>
      <c r="O26" s="62">
        <f t="shared" si="1"/>
        <v>241.08100000000002</v>
      </c>
      <c r="P26" s="62">
        <f t="shared" si="2"/>
        <v>41.224851000000001</v>
      </c>
      <c r="Q26" s="62">
        <f t="shared" si="3"/>
        <v>12.05405</v>
      </c>
      <c r="R26" s="62">
        <f t="shared" si="4"/>
        <v>12.05405</v>
      </c>
      <c r="S26" s="43">
        <v>0</v>
      </c>
      <c r="T26" s="43">
        <f t="shared" si="5"/>
        <v>306.41395100000005</v>
      </c>
      <c r="U26" s="43">
        <f t="shared" si="6"/>
        <v>2104.3960489999999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30</v>
      </c>
      <c r="K27" s="38">
        <v>2472</v>
      </c>
      <c r="L27" s="62"/>
      <c r="M27" s="43">
        <v>0</v>
      </c>
      <c r="N27" s="62">
        <f t="shared" si="0"/>
        <v>2472</v>
      </c>
      <c r="O27" s="62">
        <f t="shared" si="1"/>
        <v>247.20000000000002</v>
      </c>
      <c r="P27" s="62">
        <f t="shared" si="2"/>
        <v>42.2712</v>
      </c>
      <c r="Q27" s="62">
        <f t="shared" si="3"/>
        <v>12.36</v>
      </c>
      <c r="R27" s="62">
        <f t="shared" si="4"/>
        <v>12.36</v>
      </c>
      <c r="S27" s="43">
        <v>0</v>
      </c>
      <c r="T27" s="43">
        <f t="shared" si="5"/>
        <v>314.19120000000004</v>
      </c>
      <c r="U27" s="43">
        <f t="shared" si="6"/>
        <v>2157.8087999999998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30</v>
      </c>
      <c r="K28" s="38">
        <v>2362</v>
      </c>
      <c r="L28" s="62"/>
      <c r="M28" s="43">
        <v>0</v>
      </c>
      <c r="N28" s="62">
        <f>K28+M28</f>
        <v>2362</v>
      </c>
      <c r="O28" s="62">
        <f>+N28*0.1</f>
        <v>236.20000000000002</v>
      </c>
      <c r="P28" s="62">
        <f>+N28*0.0171</f>
        <v>40.3902</v>
      </c>
      <c r="Q28" s="62">
        <f>+N28*0.005</f>
        <v>11.81</v>
      </c>
      <c r="R28" s="62">
        <f>N28*0.5%</f>
        <v>11.81</v>
      </c>
      <c r="S28" s="43">
        <v>0</v>
      </c>
      <c r="T28" s="43">
        <f>+O28+P28+Q28+R28+S28</f>
        <v>300.21020000000004</v>
      </c>
      <c r="U28" s="43">
        <f>+N28-T28</f>
        <v>2061.7898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30</v>
      </c>
      <c r="K29" s="38">
        <v>2538.73</v>
      </c>
      <c r="L29" s="62"/>
      <c r="M29" s="43">
        <v>0</v>
      </c>
      <c r="N29" s="62">
        <f t="shared" si="0"/>
        <v>2538.73</v>
      </c>
      <c r="O29" s="62">
        <f t="shared" si="1"/>
        <v>253.87300000000002</v>
      </c>
      <c r="P29" s="62">
        <f t="shared" si="2"/>
        <v>43.412283000000002</v>
      </c>
      <c r="Q29" s="62">
        <f t="shared" si="3"/>
        <v>12.69365</v>
      </c>
      <c r="R29" s="62">
        <f t="shared" si="4"/>
        <v>12.69365</v>
      </c>
      <c r="S29" s="43">
        <v>0</v>
      </c>
      <c r="T29" s="43">
        <f t="shared" si="5"/>
        <v>322.67258300000003</v>
      </c>
      <c r="U29" s="43">
        <f t="shared" si="6"/>
        <v>2216.057417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30</v>
      </c>
      <c r="K30" s="68">
        <v>3182.7</v>
      </c>
      <c r="L30" s="69"/>
      <c r="M30" s="43">
        <v>0</v>
      </c>
      <c r="N30" s="62">
        <f t="shared" si="0"/>
        <v>3182.7</v>
      </c>
      <c r="O30" s="62">
        <f t="shared" si="1"/>
        <v>318.27</v>
      </c>
      <c r="P30" s="62">
        <f t="shared" si="2"/>
        <v>54.424169999999997</v>
      </c>
      <c r="Q30" s="62">
        <f t="shared" si="3"/>
        <v>15.913499999999999</v>
      </c>
      <c r="R30" s="62">
        <f t="shared" si="4"/>
        <v>15.913499999999999</v>
      </c>
      <c r="S30" s="43">
        <v>0</v>
      </c>
      <c r="T30" s="43">
        <f t="shared" si="5"/>
        <v>404.52116999999998</v>
      </c>
      <c r="U30" s="43">
        <f t="shared" si="6"/>
        <v>2778.1788299999998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58144.56</v>
      </c>
      <c r="L33" s="32"/>
      <c r="M33" s="32">
        <f t="shared" ref="M33" si="7">SUM(M13:M29)</f>
        <v>779.46</v>
      </c>
      <c r="N33" s="32">
        <f>SUM(N11:N32)</f>
        <v>58924.02</v>
      </c>
      <c r="O33" s="32">
        <f>SUM(O11:O32)</f>
        <v>5892.4019999999982</v>
      </c>
      <c r="P33" s="32">
        <f>SUM(P11:P32)</f>
        <v>1007.6007420000003</v>
      </c>
      <c r="Q33" s="32">
        <f>SUM(Q11:Q32)</f>
        <v>294.62010000000004</v>
      </c>
      <c r="R33" s="32">
        <f>SUM(R11:R32)</f>
        <v>294.62010000000004</v>
      </c>
      <c r="S33" s="32">
        <f>SUM(S13:S32)</f>
        <v>0</v>
      </c>
      <c r="T33" s="32">
        <f>SUM(T11:T32)</f>
        <v>7489.2429420000026</v>
      </c>
      <c r="U33" s="32">
        <f>SUM(U11:U32)</f>
        <v>51434.777057999985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7489.2429420000026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204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Z37"/>
  <sheetViews>
    <sheetView topLeftCell="A8" workbookViewId="0">
      <selection activeCell="N8" sqref="N8:N10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203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32" t="s">
        <v>15</v>
      </c>
      <c r="K9" s="235"/>
      <c r="L9" s="13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3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30</v>
      </c>
      <c r="K13" s="62">
        <v>4034.88</v>
      </c>
      <c r="L13" s="62"/>
      <c r="M13" s="43">
        <v>0</v>
      </c>
      <c r="N13" s="62">
        <f t="shared" si="0"/>
        <v>4034.88</v>
      </c>
      <c r="O13" s="62">
        <f t="shared" si="1"/>
        <v>403.48800000000006</v>
      </c>
      <c r="P13" s="62">
        <f t="shared" si="2"/>
        <v>68.996448000000001</v>
      </c>
      <c r="Q13" s="62">
        <f t="shared" si="3"/>
        <v>20.174400000000002</v>
      </c>
      <c r="R13" s="62">
        <f t="shared" si="4"/>
        <v>20.174400000000002</v>
      </c>
      <c r="S13" s="43">
        <v>0</v>
      </c>
      <c r="T13" s="43">
        <f t="shared" si="5"/>
        <v>512.83324800000003</v>
      </c>
      <c r="U13" s="43">
        <f t="shared" si="6"/>
        <v>3522.0467520000002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30</v>
      </c>
      <c r="K14" s="38">
        <v>4016.27</v>
      </c>
      <c r="L14" s="62"/>
      <c r="M14" s="43">
        <v>0</v>
      </c>
      <c r="N14" s="62">
        <f t="shared" si="0"/>
        <v>4016.27</v>
      </c>
      <c r="O14" s="62">
        <f t="shared" si="1"/>
        <v>401.62700000000001</v>
      </c>
      <c r="P14" s="62">
        <f t="shared" si="2"/>
        <v>68.678217000000004</v>
      </c>
      <c r="Q14" s="62">
        <f t="shared" si="3"/>
        <v>20.08135</v>
      </c>
      <c r="R14" s="62">
        <f t="shared" si="4"/>
        <v>20.08135</v>
      </c>
      <c r="S14" s="43">
        <v>0</v>
      </c>
      <c r="T14" s="43">
        <f t="shared" si="5"/>
        <v>510.467917</v>
      </c>
      <c r="U14" s="43">
        <f t="shared" si="6"/>
        <v>3505.802083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30</v>
      </c>
      <c r="K16" s="38">
        <v>2961.25</v>
      </c>
      <c r="L16" s="62"/>
      <c r="M16" s="43">
        <v>0</v>
      </c>
      <c r="N16" s="62">
        <f t="shared" si="0"/>
        <v>2961.25</v>
      </c>
      <c r="O16" s="62">
        <f t="shared" si="1"/>
        <v>296.125</v>
      </c>
      <c r="P16" s="62">
        <f t="shared" si="2"/>
        <v>50.637374999999999</v>
      </c>
      <c r="Q16" s="62">
        <f t="shared" si="3"/>
        <v>14.80625</v>
      </c>
      <c r="R16" s="62">
        <f t="shared" si="4"/>
        <v>14.80625</v>
      </c>
      <c r="S16" s="43">
        <v>0</v>
      </c>
      <c r="T16" s="43">
        <f t="shared" si="5"/>
        <v>376.37487499999997</v>
      </c>
      <c r="U16" s="43">
        <f t="shared" si="6"/>
        <v>2584.875125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30</v>
      </c>
      <c r="K17" s="38">
        <v>2362</v>
      </c>
      <c r="L17" s="62"/>
      <c r="M17" s="43">
        <v>0</v>
      </c>
      <c r="N17" s="62">
        <f t="shared" si="0"/>
        <v>2362</v>
      </c>
      <c r="O17" s="62">
        <f t="shared" si="1"/>
        <v>236.20000000000002</v>
      </c>
      <c r="P17" s="62">
        <f t="shared" si="2"/>
        <v>40.3902</v>
      </c>
      <c r="Q17" s="62">
        <f t="shared" si="3"/>
        <v>11.81</v>
      </c>
      <c r="R17" s="62">
        <f t="shared" si="4"/>
        <v>11.81</v>
      </c>
      <c r="S17" s="43">
        <v>0</v>
      </c>
      <c r="T17" s="43">
        <f t="shared" si="5"/>
        <v>300.21020000000004</v>
      </c>
      <c r="U17" s="43">
        <f t="shared" si="6"/>
        <v>2061.7898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30</v>
      </c>
      <c r="K25" s="38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30</v>
      </c>
      <c r="K26" s="38">
        <v>2410.81</v>
      </c>
      <c r="L26" s="62"/>
      <c r="M26" s="43">
        <v>0</v>
      </c>
      <c r="N26" s="62">
        <f t="shared" si="0"/>
        <v>2410.81</v>
      </c>
      <c r="O26" s="62">
        <f t="shared" si="1"/>
        <v>241.08100000000002</v>
      </c>
      <c r="P26" s="62">
        <f t="shared" si="2"/>
        <v>41.224851000000001</v>
      </c>
      <c r="Q26" s="62">
        <f t="shared" si="3"/>
        <v>12.05405</v>
      </c>
      <c r="R26" s="62">
        <f t="shared" si="4"/>
        <v>12.05405</v>
      </c>
      <c r="S26" s="43">
        <v>0</v>
      </c>
      <c r="T26" s="43">
        <f t="shared" si="5"/>
        <v>306.41395100000005</v>
      </c>
      <c r="U26" s="43">
        <f t="shared" si="6"/>
        <v>2104.3960489999999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30</v>
      </c>
      <c r="K27" s="38">
        <v>2472</v>
      </c>
      <c r="L27" s="62"/>
      <c r="M27" s="43">
        <v>0</v>
      </c>
      <c r="N27" s="62">
        <f t="shared" si="0"/>
        <v>2472</v>
      </c>
      <c r="O27" s="62">
        <f t="shared" si="1"/>
        <v>247.20000000000002</v>
      </c>
      <c r="P27" s="62">
        <f t="shared" si="2"/>
        <v>42.2712</v>
      </c>
      <c r="Q27" s="62">
        <f t="shared" si="3"/>
        <v>12.36</v>
      </c>
      <c r="R27" s="62">
        <f t="shared" si="4"/>
        <v>12.36</v>
      </c>
      <c r="S27" s="43">
        <v>0</v>
      </c>
      <c r="T27" s="43">
        <f t="shared" si="5"/>
        <v>314.19120000000004</v>
      </c>
      <c r="U27" s="43">
        <f t="shared" si="6"/>
        <v>2157.8087999999998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30</v>
      </c>
      <c r="K28" s="38">
        <v>2362</v>
      </c>
      <c r="L28" s="62"/>
      <c r="M28" s="43">
        <v>0</v>
      </c>
      <c r="N28" s="62">
        <f>K28+M28</f>
        <v>2362</v>
      </c>
      <c r="O28" s="62">
        <f>+N28*0.1</f>
        <v>236.20000000000002</v>
      </c>
      <c r="P28" s="62">
        <f>+N28*0.0171</f>
        <v>40.3902</v>
      </c>
      <c r="Q28" s="62">
        <f>+N28*0.005</f>
        <v>11.81</v>
      </c>
      <c r="R28" s="62">
        <f>N28*0.5%</f>
        <v>11.81</v>
      </c>
      <c r="S28" s="43">
        <v>0</v>
      </c>
      <c r="T28" s="43">
        <f>+O28+P28+Q28+R28+S28</f>
        <v>300.21020000000004</v>
      </c>
      <c r="U28" s="43">
        <f>+N28-T28</f>
        <v>2061.7898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30</v>
      </c>
      <c r="K29" s="38">
        <v>2538.73</v>
      </c>
      <c r="L29" s="62"/>
      <c r="M29" s="43">
        <v>0</v>
      </c>
      <c r="N29" s="62">
        <f t="shared" si="0"/>
        <v>2538.73</v>
      </c>
      <c r="O29" s="62">
        <f t="shared" si="1"/>
        <v>253.87300000000002</v>
      </c>
      <c r="P29" s="62">
        <f t="shared" si="2"/>
        <v>43.412283000000002</v>
      </c>
      <c r="Q29" s="62">
        <f t="shared" si="3"/>
        <v>12.69365</v>
      </c>
      <c r="R29" s="62">
        <f t="shared" si="4"/>
        <v>12.69365</v>
      </c>
      <c r="S29" s="43">
        <v>0</v>
      </c>
      <c r="T29" s="43">
        <f t="shared" si="5"/>
        <v>322.67258300000003</v>
      </c>
      <c r="U29" s="43">
        <f t="shared" si="6"/>
        <v>2216.057417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30</v>
      </c>
      <c r="K30" s="68">
        <v>3182.7</v>
      </c>
      <c r="L30" s="69"/>
      <c r="M30" s="43">
        <v>0</v>
      </c>
      <c r="N30" s="62">
        <f t="shared" si="0"/>
        <v>3182.7</v>
      </c>
      <c r="O30" s="62">
        <f t="shared" si="1"/>
        <v>318.27</v>
      </c>
      <c r="P30" s="62">
        <f t="shared" si="2"/>
        <v>54.424169999999997</v>
      </c>
      <c r="Q30" s="62">
        <f t="shared" si="3"/>
        <v>15.913499999999999</v>
      </c>
      <c r="R30" s="62">
        <f t="shared" si="4"/>
        <v>15.913499999999999</v>
      </c>
      <c r="S30" s="43">
        <v>0</v>
      </c>
      <c r="T30" s="43">
        <f t="shared" si="5"/>
        <v>404.52116999999998</v>
      </c>
      <c r="U30" s="43">
        <f t="shared" si="6"/>
        <v>2778.1788299999998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58144.56</v>
      </c>
      <c r="L33" s="32"/>
      <c r="M33" s="32">
        <f t="shared" ref="M33" si="7">SUM(M13:M29)</f>
        <v>779.46</v>
      </c>
      <c r="N33" s="32">
        <f>SUM(N11:N32)</f>
        <v>58924.02</v>
      </c>
      <c r="O33" s="32">
        <f>SUM(O11:O32)</f>
        <v>5892.4019999999982</v>
      </c>
      <c r="P33" s="32">
        <f>SUM(P11:P32)</f>
        <v>1007.6007420000003</v>
      </c>
      <c r="Q33" s="32">
        <f>SUM(Q11:Q32)</f>
        <v>294.62010000000004</v>
      </c>
      <c r="R33" s="32">
        <f>SUM(R11:R32)</f>
        <v>294.62010000000004</v>
      </c>
      <c r="S33" s="32">
        <f>SUM(S13:S32)</f>
        <v>0</v>
      </c>
      <c r="T33" s="32">
        <f>SUM(T11:T32)</f>
        <v>7489.2429420000026</v>
      </c>
      <c r="U33" s="32">
        <f>SUM(U11:U32)</f>
        <v>51434.777057999985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7489.2429420000026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204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Z37"/>
  <sheetViews>
    <sheetView topLeftCell="A8" workbookViewId="0">
      <selection activeCell="N11" sqref="N11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205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32" t="s">
        <v>15</v>
      </c>
      <c r="K9" s="235"/>
      <c r="L9" s="13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3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44958</v>
      </c>
      <c r="H11" s="14">
        <v>6</v>
      </c>
      <c r="I11" s="45"/>
      <c r="J11" s="58">
        <v>30</v>
      </c>
      <c r="K11" s="62">
        <v>2362</v>
      </c>
      <c r="L11" s="60"/>
      <c r="M11" s="43">
        <v>0</v>
      </c>
      <c r="N11" s="62">
        <f t="shared" ref="N11:N32" si="0">K11+M11</f>
        <v>2362</v>
      </c>
      <c r="O11" s="62">
        <f t="shared" ref="O11:O32" si="1">+N11*0.1</f>
        <v>236.20000000000002</v>
      </c>
      <c r="P11" s="62">
        <f t="shared" ref="P11:P32" si="2">+N11*0.0171</f>
        <v>40.3902</v>
      </c>
      <c r="Q11" s="62">
        <f t="shared" ref="Q11:Q32" si="3">+N11*0.005</f>
        <v>11.81</v>
      </c>
      <c r="R11" s="62">
        <f t="shared" ref="R11:R32" si="4">N11*0.5%</f>
        <v>11.81</v>
      </c>
      <c r="S11" s="43">
        <v>0</v>
      </c>
      <c r="T11" s="43">
        <f t="shared" ref="T11:T32" si="5">+O11+P11+Q11+R11+S11</f>
        <v>300.21020000000004</v>
      </c>
      <c r="U11" s="43">
        <f t="shared" ref="U11:U32" si="6">+N11-T11</f>
        <v>2061.7898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30">
        <v>44958</v>
      </c>
      <c r="H12" s="63">
        <v>5</v>
      </c>
      <c r="I12" s="64"/>
      <c r="J12" s="14">
        <v>14</v>
      </c>
      <c r="K12" s="62">
        <v>1153.5999999999999</v>
      </c>
      <c r="L12" s="60"/>
      <c r="M12" s="43">
        <v>0</v>
      </c>
      <c r="N12" s="62">
        <f t="shared" si="0"/>
        <v>1153.5999999999999</v>
      </c>
      <c r="O12" s="62">
        <f t="shared" si="1"/>
        <v>115.36</v>
      </c>
      <c r="P12" s="62">
        <f t="shared" si="2"/>
        <v>19.726559999999999</v>
      </c>
      <c r="Q12" s="62">
        <f t="shared" si="3"/>
        <v>5.7679999999999998</v>
      </c>
      <c r="R12" s="62">
        <f t="shared" si="4"/>
        <v>5.7679999999999998</v>
      </c>
      <c r="S12" s="43">
        <v>0</v>
      </c>
      <c r="T12" s="43">
        <f t="shared" si="5"/>
        <v>146.62255999999999</v>
      </c>
      <c r="U12" s="43">
        <f t="shared" si="6"/>
        <v>1006.9774399999999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30">
        <v>44942</v>
      </c>
      <c r="H13" s="63">
        <v>6</v>
      </c>
      <c r="I13" s="64"/>
      <c r="J13" s="14">
        <v>14</v>
      </c>
      <c r="K13" s="62">
        <v>1882.94</v>
      </c>
      <c r="L13" s="62"/>
      <c r="M13" s="43">
        <v>0</v>
      </c>
      <c r="N13" s="62">
        <f t="shared" si="0"/>
        <v>1882.94</v>
      </c>
      <c r="O13" s="62">
        <f t="shared" si="1"/>
        <v>188.29400000000001</v>
      </c>
      <c r="P13" s="62">
        <f t="shared" si="2"/>
        <v>32.198274000000005</v>
      </c>
      <c r="Q13" s="62">
        <f t="shared" si="3"/>
        <v>9.4146999999999998</v>
      </c>
      <c r="R13" s="62">
        <f t="shared" si="4"/>
        <v>9.4146999999999998</v>
      </c>
      <c r="S13" s="43">
        <v>0</v>
      </c>
      <c r="T13" s="43">
        <f t="shared" si="5"/>
        <v>239.32167400000003</v>
      </c>
      <c r="U13" s="43">
        <f t="shared" si="6"/>
        <v>1643.618326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30">
        <v>44942</v>
      </c>
      <c r="H14" s="40">
        <v>6</v>
      </c>
      <c r="J14" s="15">
        <v>14</v>
      </c>
      <c r="K14" s="38">
        <v>1874.26</v>
      </c>
      <c r="L14" s="62"/>
      <c r="M14" s="43">
        <v>0</v>
      </c>
      <c r="N14" s="62">
        <f t="shared" si="0"/>
        <v>1874.26</v>
      </c>
      <c r="O14" s="62">
        <f t="shared" si="1"/>
        <v>187.42600000000002</v>
      </c>
      <c r="P14" s="62">
        <f t="shared" si="2"/>
        <v>32.049846000000002</v>
      </c>
      <c r="Q14" s="62">
        <f t="shared" si="3"/>
        <v>9.3712999999999997</v>
      </c>
      <c r="R14" s="62">
        <f t="shared" si="4"/>
        <v>9.3712999999999997</v>
      </c>
      <c r="S14" s="43">
        <v>0</v>
      </c>
      <c r="T14" s="43">
        <f t="shared" si="5"/>
        <v>238.218446</v>
      </c>
      <c r="U14" s="43">
        <f t="shared" si="6"/>
        <v>1636.0415539999999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30">
        <v>44927</v>
      </c>
      <c r="H15" s="40">
        <v>6</v>
      </c>
      <c r="J15" s="15">
        <v>30</v>
      </c>
      <c r="K15" s="38">
        <v>2784.68</v>
      </c>
      <c r="L15" s="62"/>
      <c r="M15" s="43">
        <v>0</v>
      </c>
      <c r="N15" s="62">
        <f t="shared" si="0"/>
        <v>2784.68</v>
      </c>
      <c r="O15" s="62">
        <f t="shared" si="1"/>
        <v>278.46800000000002</v>
      </c>
      <c r="P15" s="62">
        <f t="shared" si="2"/>
        <v>47.618028000000002</v>
      </c>
      <c r="Q15" s="62">
        <f t="shared" si="3"/>
        <v>13.923399999999999</v>
      </c>
      <c r="R15" s="62">
        <f t="shared" si="4"/>
        <v>13.923399999999999</v>
      </c>
      <c r="S15" s="43">
        <v>0</v>
      </c>
      <c r="T15" s="43">
        <f t="shared" si="5"/>
        <v>353.93282800000003</v>
      </c>
      <c r="U15" s="43">
        <f t="shared" si="6"/>
        <v>2430.7471719999999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30">
        <v>44958</v>
      </c>
      <c r="H16" s="40">
        <v>6</v>
      </c>
      <c r="J16" s="15">
        <v>14</v>
      </c>
      <c r="K16" s="38">
        <v>1381.92</v>
      </c>
      <c r="L16" s="62"/>
      <c r="M16" s="43">
        <v>0</v>
      </c>
      <c r="N16" s="62">
        <f t="shared" si="0"/>
        <v>1381.92</v>
      </c>
      <c r="O16" s="62">
        <f t="shared" si="1"/>
        <v>138.19200000000001</v>
      </c>
      <c r="P16" s="62">
        <f t="shared" si="2"/>
        <v>23.630832000000002</v>
      </c>
      <c r="Q16" s="62">
        <f t="shared" si="3"/>
        <v>6.9096000000000002</v>
      </c>
      <c r="R16" s="62">
        <f t="shared" si="4"/>
        <v>6.9096000000000002</v>
      </c>
      <c r="S16" s="43">
        <v>0</v>
      </c>
      <c r="T16" s="43">
        <f t="shared" si="5"/>
        <v>175.64203200000003</v>
      </c>
      <c r="U16" s="43">
        <f t="shared" si="6"/>
        <v>1206.2779680000001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30">
        <v>44958</v>
      </c>
      <c r="H17" s="40">
        <v>5</v>
      </c>
      <c r="J17" s="15">
        <v>14</v>
      </c>
      <c r="K17" s="38">
        <v>1102.27</v>
      </c>
      <c r="L17" s="62"/>
      <c r="M17" s="43">
        <v>0</v>
      </c>
      <c r="N17" s="62">
        <f t="shared" si="0"/>
        <v>1102.27</v>
      </c>
      <c r="O17" s="62">
        <f t="shared" si="1"/>
        <v>110.227</v>
      </c>
      <c r="P17" s="62">
        <f t="shared" si="2"/>
        <v>18.848817</v>
      </c>
      <c r="Q17" s="62">
        <f t="shared" si="3"/>
        <v>5.5113500000000002</v>
      </c>
      <c r="R17" s="62">
        <f t="shared" si="4"/>
        <v>5.5113500000000002</v>
      </c>
      <c r="S17" s="43">
        <v>0</v>
      </c>
      <c r="T17" s="43">
        <f t="shared" si="5"/>
        <v>140.09851699999999</v>
      </c>
      <c r="U17" s="43">
        <f t="shared" si="6"/>
        <v>962.17148299999997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30">
        <v>45078</v>
      </c>
      <c r="H18" s="40">
        <v>6</v>
      </c>
      <c r="J18" s="15">
        <v>14</v>
      </c>
      <c r="K18" s="38">
        <v>1201.67</v>
      </c>
      <c r="L18" s="62"/>
      <c r="M18" s="43">
        <v>0</v>
      </c>
      <c r="N18" s="62">
        <f t="shared" si="0"/>
        <v>1201.67</v>
      </c>
      <c r="O18" s="62">
        <f t="shared" si="1"/>
        <v>120.16700000000002</v>
      </c>
      <c r="P18" s="62">
        <f t="shared" si="2"/>
        <v>20.548557000000002</v>
      </c>
      <c r="Q18" s="62">
        <f t="shared" si="3"/>
        <v>6.0083500000000001</v>
      </c>
      <c r="R18" s="62">
        <f t="shared" si="4"/>
        <v>6.0083500000000001</v>
      </c>
      <c r="S18" s="43">
        <v>0</v>
      </c>
      <c r="T18" s="43">
        <f t="shared" si="5"/>
        <v>152.73225700000003</v>
      </c>
      <c r="U18" s="43">
        <f t="shared" si="6"/>
        <v>1048.937743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30">
        <v>44958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30">
        <v>44958</v>
      </c>
      <c r="H21" s="40">
        <v>5</v>
      </c>
      <c r="J21" s="15">
        <v>14</v>
      </c>
      <c r="K21" s="38">
        <v>1234.56</v>
      </c>
      <c r="L21" s="62"/>
      <c r="M21" s="43">
        <v>0</v>
      </c>
      <c r="N21" s="62">
        <f t="shared" si="0"/>
        <v>1234.56</v>
      </c>
      <c r="O21" s="62">
        <f t="shared" si="1"/>
        <v>123.456</v>
      </c>
      <c r="P21" s="62">
        <f t="shared" si="2"/>
        <v>21.110976000000001</v>
      </c>
      <c r="Q21" s="62">
        <f t="shared" si="3"/>
        <v>6.1727999999999996</v>
      </c>
      <c r="R21" s="62">
        <f t="shared" si="4"/>
        <v>6.1727999999999996</v>
      </c>
      <c r="S21" s="43">
        <v>0</v>
      </c>
      <c r="T21" s="43">
        <f t="shared" si="5"/>
        <v>156.912576</v>
      </c>
      <c r="U21" s="43">
        <f t="shared" si="6"/>
        <v>1077.647424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30">
        <v>44958</v>
      </c>
      <c r="H22" s="40">
        <v>4</v>
      </c>
      <c r="J22" s="15">
        <v>14</v>
      </c>
      <c r="K22" s="38">
        <v>1102.27</v>
      </c>
      <c r="L22" s="62"/>
      <c r="M22" s="43">
        <v>0</v>
      </c>
      <c r="N22" s="62">
        <f t="shared" si="0"/>
        <v>1102.27</v>
      </c>
      <c r="O22" s="62">
        <f t="shared" si="1"/>
        <v>110.227</v>
      </c>
      <c r="P22" s="62">
        <f t="shared" si="2"/>
        <v>18.848817</v>
      </c>
      <c r="Q22" s="62">
        <f t="shared" si="3"/>
        <v>5.5113500000000002</v>
      </c>
      <c r="R22" s="62">
        <f t="shared" si="4"/>
        <v>5.5113500000000002</v>
      </c>
      <c r="S22" s="43">
        <v>0</v>
      </c>
      <c r="T22" s="43">
        <f t="shared" si="5"/>
        <v>140.09851699999999</v>
      </c>
      <c r="U22" s="43">
        <f t="shared" si="6"/>
        <v>962.17148299999997</v>
      </c>
      <c r="V22" s="44"/>
      <c r="X22" s="45"/>
    </row>
    <row r="23" spans="1:24" ht="22.5" customHeight="1">
      <c r="A23" s="57">
        <v>13</v>
      </c>
      <c r="B23" s="41" t="s">
        <v>52</v>
      </c>
      <c r="C23" s="41" t="s">
        <v>128</v>
      </c>
      <c r="D23" s="42"/>
      <c r="E23" s="14"/>
      <c r="F23" s="41" t="s">
        <v>40</v>
      </c>
      <c r="G23" s="30">
        <v>44958</v>
      </c>
      <c r="H23" s="40">
        <v>6</v>
      </c>
      <c r="J23" s="15">
        <v>30</v>
      </c>
      <c r="K23" s="38">
        <v>2430.75</v>
      </c>
      <c r="L23" s="62"/>
      <c r="M23" s="43">
        <v>0</v>
      </c>
      <c r="N23" s="62">
        <f t="shared" si="0"/>
        <v>2430.75</v>
      </c>
      <c r="O23" s="62">
        <f t="shared" si="1"/>
        <v>243.07500000000002</v>
      </c>
      <c r="P23" s="62">
        <f t="shared" si="2"/>
        <v>41.565825000000004</v>
      </c>
      <c r="Q23" s="62">
        <f t="shared" si="3"/>
        <v>12.15375</v>
      </c>
      <c r="R23" s="62">
        <f t="shared" si="4"/>
        <v>12.15375</v>
      </c>
      <c r="S23" s="43">
        <v>0</v>
      </c>
      <c r="T23" s="43">
        <f t="shared" si="5"/>
        <v>308.94832500000001</v>
      </c>
      <c r="U23" s="43">
        <f t="shared" si="6"/>
        <v>2121.8016750000002</v>
      </c>
      <c r="V23" s="44"/>
      <c r="X23" s="45"/>
    </row>
    <row r="24" spans="1:24" ht="22.5" customHeight="1">
      <c r="A24" s="57">
        <v>14</v>
      </c>
      <c r="B24" s="21" t="s">
        <v>96</v>
      </c>
      <c r="C24" s="21" t="s">
        <v>181</v>
      </c>
      <c r="D24" s="20"/>
      <c r="E24" s="22" t="s">
        <v>40</v>
      </c>
      <c r="F24" s="41" t="s">
        <v>40</v>
      </c>
      <c r="G24" s="30">
        <v>44958</v>
      </c>
      <c r="H24" s="63">
        <v>5</v>
      </c>
      <c r="I24" s="64"/>
      <c r="J24" s="14">
        <v>30</v>
      </c>
      <c r="K24" s="62">
        <v>2362</v>
      </c>
      <c r="L24" s="62"/>
      <c r="M24" s="43">
        <v>0</v>
      </c>
      <c r="N24" s="62">
        <f t="shared" si="0"/>
        <v>2362</v>
      </c>
      <c r="O24" s="62">
        <f t="shared" si="1"/>
        <v>236.20000000000002</v>
      </c>
      <c r="P24" s="62">
        <f t="shared" si="2"/>
        <v>40.3902</v>
      </c>
      <c r="Q24" s="62">
        <f t="shared" si="3"/>
        <v>11.81</v>
      </c>
      <c r="R24" s="62">
        <f t="shared" si="4"/>
        <v>11.81</v>
      </c>
      <c r="S24" s="43">
        <v>0</v>
      </c>
      <c r="T24" s="43">
        <f t="shared" si="5"/>
        <v>300.21020000000004</v>
      </c>
      <c r="U24" s="43">
        <f t="shared" si="6"/>
        <v>2061.7898</v>
      </c>
      <c r="V24" s="44"/>
      <c r="X24" s="45"/>
    </row>
    <row r="25" spans="1:24" ht="22.5" customHeight="1">
      <c r="A25" s="57">
        <v>15</v>
      </c>
      <c r="B25" s="41" t="s">
        <v>82</v>
      </c>
      <c r="C25" s="41" t="s">
        <v>83</v>
      </c>
      <c r="D25" s="42"/>
      <c r="E25" s="14"/>
      <c r="F25" s="41" t="s">
        <v>36</v>
      </c>
      <c r="G25" s="30">
        <v>44958</v>
      </c>
      <c r="H25" s="40">
        <v>4</v>
      </c>
      <c r="J25" s="15">
        <v>14</v>
      </c>
      <c r="K25" s="38">
        <v>1102.27</v>
      </c>
      <c r="L25" s="62"/>
      <c r="M25" s="43">
        <v>0</v>
      </c>
      <c r="N25" s="62">
        <f t="shared" si="0"/>
        <v>1102.27</v>
      </c>
      <c r="O25" s="62">
        <f t="shared" si="1"/>
        <v>110.227</v>
      </c>
      <c r="P25" s="62">
        <f t="shared" si="2"/>
        <v>18.848817</v>
      </c>
      <c r="Q25" s="62">
        <f t="shared" si="3"/>
        <v>5.5113500000000002</v>
      </c>
      <c r="R25" s="62">
        <f t="shared" si="4"/>
        <v>5.5113500000000002</v>
      </c>
      <c r="S25" s="43">
        <v>0</v>
      </c>
      <c r="T25" s="43">
        <f t="shared" si="5"/>
        <v>140.09851699999999</v>
      </c>
      <c r="U25" s="43">
        <f t="shared" si="6"/>
        <v>962.17148299999997</v>
      </c>
      <c r="V25" s="44"/>
      <c r="X25" s="45"/>
    </row>
    <row r="26" spans="1:24" ht="22.5" customHeight="1">
      <c r="A26" s="57">
        <v>16</v>
      </c>
      <c r="B26" s="41" t="s">
        <v>35</v>
      </c>
      <c r="C26" s="41" t="s">
        <v>64</v>
      </c>
      <c r="D26" s="42"/>
      <c r="E26" s="14"/>
      <c r="F26" s="41" t="s">
        <v>36</v>
      </c>
      <c r="G26" s="30">
        <v>44958</v>
      </c>
      <c r="H26" s="40">
        <v>4</v>
      </c>
      <c r="J26" s="15">
        <v>14</v>
      </c>
      <c r="K26" s="38">
        <v>1125.04</v>
      </c>
      <c r="L26" s="62"/>
      <c r="M26" s="43">
        <v>0</v>
      </c>
      <c r="N26" s="62">
        <f t="shared" si="0"/>
        <v>1125.04</v>
      </c>
      <c r="O26" s="62">
        <f t="shared" si="1"/>
        <v>112.504</v>
      </c>
      <c r="P26" s="62">
        <f t="shared" si="2"/>
        <v>19.238184</v>
      </c>
      <c r="Q26" s="62">
        <f t="shared" si="3"/>
        <v>5.6251999999999995</v>
      </c>
      <c r="R26" s="62">
        <f t="shared" si="4"/>
        <v>5.6251999999999995</v>
      </c>
      <c r="S26" s="43">
        <v>0</v>
      </c>
      <c r="T26" s="43">
        <f t="shared" si="5"/>
        <v>142.99258400000002</v>
      </c>
      <c r="U26" s="43">
        <f t="shared" si="6"/>
        <v>982.04741599999988</v>
      </c>
      <c r="V26" s="44"/>
      <c r="X26" s="45"/>
    </row>
    <row r="27" spans="1:24" ht="22.5" customHeight="1">
      <c r="A27" s="57">
        <v>17</v>
      </c>
      <c r="B27" s="41" t="s">
        <v>77</v>
      </c>
      <c r="C27" s="41" t="s">
        <v>78</v>
      </c>
      <c r="D27" s="42"/>
      <c r="E27" s="14"/>
      <c r="F27" s="41" t="s">
        <v>32</v>
      </c>
      <c r="G27" s="30">
        <v>44958</v>
      </c>
      <c r="H27" s="40">
        <v>5</v>
      </c>
      <c r="J27" s="15">
        <v>14</v>
      </c>
      <c r="K27" s="38">
        <v>1153.5999999999999</v>
      </c>
      <c r="L27" s="62"/>
      <c r="M27" s="43">
        <v>0</v>
      </c>
      <c r="N27" s="62">
        <f t="shared" si="0"/>
        <v>1153.5999999999999</v>
      </c>
      <c r="O27" s="62">
        <f t="shared" si="1"/>
        <v>115.36</v>
      </c>
      <c r="P27" s="62">
        <f t="shared" si="2"/>
        <v>19.726559999999999</v>
      </c>
      <c r="Q27" s="62">
        <f t="shared" si="3"/>
        <v>5.7679999999999998</v>
      </c>
      <c r="R27" s="62">
        <f t="shared" si="4"/>
        <v>5.7679999999999998</v>
      </c>
      <c r="S27" s="43">
        <v>0</v>
      </c>
      <c r="T27" s="43">
        <f t="shared" si="5"/>
        <v>146.62255999999999</v>
      </c>
      <c r="U27" s="43">
        <f t="shared" si="6"/>
        <v>1006.9774399999999</v>
      </c>
      <c r="V27" s="44"/>
      <c r="X27" s="45"/>
    </row>
    <row r="28" spans="1:24" ht="22.5" customHeight="1">
      <c r="A28" s="57">
        <v>18</v>
      </c>
      <c r="B28" s="41" t="s">
        <v>41</v>
      </c>
      <c r="C28" s="41" t="s">
        <v>72</v>
      </c>
      <c r="D28" s="42"/>
      <c r="E28" s="14"/>
      <c r="F28" s="41" t="s">
        <v>73</v>
      </c>
      <c r="G28" s="30">
        <v>44958</v>
      </c>
      <c r="H28" s="40">
        <v>6</v>
      </c>
      <c r="J28" s="15">
        <v>14</v>
      </c>
      <c r="K28" s="38">
        <v>1102.27</v>
      </c>
      <c r="L28" s="62"/>
      <c r="M28" s="43">
        <v>0</v>
      </c>
      <c r="N28" s="62">
        <f>K28+M28</f>
        <v>1102.27</v>
      </c>
      <c r="O28" s="62">
        <f>+N28*0.1</f>
        <v>110.227</v>
      </c>
      <c r="P28" s="62">
        <f>+N28*0.0171</f>
        <v>18.848817</v>
      </c>
      <c r="Q28" s="62">
        <f>+N28*0.005</f>
        <v>5.5113500000000002</v>
      </c>
      <c r="R28" s="62">
        <f>N28*0.5%</f>
        <v>5.5113500000000002</v>
      </c>
      <c r="S28" s="43">
        <v>0</v>
      </c>
      <c r="T28" s="43">
        <f>+O28+P28+Q28+R28+S28</f>
        <v>140.09851699999999</v>
      </c>
      <c r="U28" s="43">
        <f>+N28-T28</f>
        <v>962.17148299999997</v>
      </c>
      <c r="V28" s="44"/>
      <c r="X28" s="45"/>
    </row>
    <row r="29" spans="1:24" ht="22.5" customHeight="1">
      <c r="A29" s="57">
        <v>19</v>
      </c>
      <c r="B29" s="70" t="s">
        <v>50</v>
      </c>
      <c r="C29" s="70" t="s">
        <v>66</v>
      </c>
      <c r="D29" s="71"/>
      <c r="E29" s="72"/>
      <c r="F29" s="70" t="s">
        <v>51</v>
      </c>
      <c r="G29" s="73">
        <v>44958</v>
      </c>
      <c r="H29" s="74">
        <v>5</v>
      </c>
      <c r="J29" s="75">
        <v>14</v>
      </c>
      <c r="K29" s="38">
        <v>1184.74</v>
      </c>
      <c r="L29" s="62"/>
      <c r="M29" s="43">
        <v>0</v>
      </c>
      <c r="N29" s="62">
        <f t="shared" si="0"/>
        <v>1184.74</v>
      </c>
      <c r="O29" s="62">
        <f t="shared" si="1"/>
        <v>118.474</v>
      </c>
      <c r="P29" s="62">
        <f t="shared" si="2"/>
        <v>20.259054000000003</v>
      </c>
      <c r="Q29" s="62">
        <f t="shared" si="3"/>
        <v>5.9237000000000002</v>
      </c>
      <c r="R29" s="62">
        <f t="shared" si="4"/>
        <v>5.9237000000000002</v>
      </c>
      <c r="S29" s="43">
        <v>0</v>
      </c>
      <c r="T29" s="43">
        <f t="shared" si="5"/>
        <v>150.580454</v>
      </c>
      <c r="U29" s="43">
        <f t="shared" si="6"/>
        <v>1034.1595460000001</v>
      </c>
      <c r="V29" s="44"/>
      <c r="X29" s="45"/>
    </row>
    <row r="30" spans="1:24" ht="22.5" customHeight="1">
      <c r="A30" s="57">
        <v>20</v>
      </c>
      <c r="B30" s="41" t="s">
        <v>183</v>
      </c>
      <c r="C30" s="41" t="s">
        <v>184</v>
      </c>
      <c r="D30" s="42"/>
      <c r="E30" s="14"/>
      <c r="F30" s="123" t="s">
        <v>185</v>
      </c>
      <c r="G30" s="30">
        <v>44958</v>
      </c>
      <c r="H30" s="122">
        <v>6</v>
      </c>
      <c r="I30" s="15">
        <v>30</v>
      </c>
      <c r="J30" s="75">
        <v>14</v>
      </c>
      <c r="K30" s="68">
        <v>1485.26</v>
      </c>
      <c r="L30" s="69"/>
      <c r="M30" s="43">
        <v>0</v>
      </c>
      <c r="N30" s="62">
        <f t="shared" si="0"/>
        <v>1485.26</v>
      </c>
      <c r="O30" s="62">
        <f t="shared" si="1"/>
        <v>148.52600000000001</v>
      </c>
      <c r="P30" s="62">
        <f t="shared" si="2"/>
        <v>25.397946000000001</v>
      </c>
      <c r="Q30" s="62">
        <f t="shared" si="3"/>
        <v>7.4263000000000003</v>
      </c>
      <c r="R30" s="62">
        <f t="shared" si="4"/>
        <v>7.4263000000000003</v>
      </c>
      <c r="S30" s="43">
        <v>0</v>
      </c>
      <c r="T30" s="43">
        <f t="shared" si="5"/>
        <v>188.776546</v>
      </c>
      <c r="U30" s="43">
        <f t="shared" si="6"/>
        <v>1296.4834539999999</v>
      </c>
      <c r="V30" s="44"/>
      <c r="X30" s="45"/>
    </row>
    <row r="31" spans="1:24" ht="22.5" customHeight="1">
      <c r="A31" s="57">
        <v>21</v>
      </c>
      <c r="B31" s="41" t="s">
        <v>43</v>
      </c>
      <c r="C31" s="41" t="s">
        <v>124</v>
      </c>
      <c r="D31" s="42"/>
      <c r="E31" s="14"/>
      <c r="F31" s="41" t="s">
        <v>36</v>
      </c>
      <c r="G31" s="30">
        <v>44958</v>
      </c>
      <c r="H31" s="40">
        <v>5</v>
      </c>
      <c r="I31" s="76"/>
      <c r="J31" s="75">
        <v>30</v>
      </c>
      <c r="K31" s="68">
        <v>2362</v>
      </c>
      <c r="L31" s="69"/>
      <c r="M31" s="43">
        <v>0</v>
      </c>
      <c r="N31" s="62">
        <f t="shared" si="0"/>
        <v>2362</v>
      </c>
      <c r="O31" s="62">
        <f t="shared" si="1"/>
        <v>236.20000000000002</v>
      </c>
      <c r="P31" s="62">
        <f t="shared" si="2"/>
        <v>40.3902</v>
      </c>
      <c r="Q31" s="62">
        <f t="shared" si="3"/>
        <v>11.81</v>
      </c>
      <c r="R31" s="62">
        <f t="shared" si="4"/>
        <v>11.81</v>
      </c>
      <c r="S31" s="43">
        <v>0</v>
      </c>
      <c r="T31" s="43">
        <f t="shared" si="5"/>
        <v>300.21020000000004</v>
      </c>
      <c r="U31" s="43">
        <f t="shared" si="6"/>
        <v>2061.7898</v>
      </c>
      <c r="V31" s="44"/>
      <c r="X31" s="45"/>
    </row>
    <row r="32" spans="1:24" ht="22.5" customHeight="1">
      <c r="A32" s="57">
        <v>22</v>
      </c>
      <c r="B32" s="41" t="s">
        <v>37</v>
      </c>
      <c r="C32" s="41" t="s">
        <v>38</v>
      </c>
      <c r="D32" s="42"/>
      <c r="E32" s="14"/>
      <c r="F32" s="41" t="s">
        <v>34</v>
      </c>
      <c r="G32" s="30">
        <v>44958</v>
      </c>
      <c r="H32" s="40">
        <v>5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s="18" customFormat="1" ht="21" customHeight="1">
      <c r="A33" s="33"/>
      <c r="B33" s="34"/>
      <c r="C33" s="35" t="s">
        <v>22</v>
      </c>
      <c r="D33" s="34"/>
      <c r="E33" s="36"/>
      <c r="F33" s="34"/>
      <c r="G33" s="34"/>
      <c r="H33" s="65"/>
      <c r="I33" s="65"/>
      <c r="J33" s="37"/>
      <c r="K33" s="32">
        <f>SUM(K11:K32)</f>
        <v>37474.100000000006</v>
      </c>
      <c r="L33" s="32"/>
      <c r="M33" s="32">
        <f t="shared" ref="M33" si="7">SUM(M13:M29)</f>
        <v>779.46</v>
      </c>
      <c r="N33" s="32">
        <f>SUM(N11:N32)</f>
        <v>38253.560000000005</v>
      </c>
      <c r="O33" s="32">
        <f>SUM(O11:O32)</f>
        <v>3825.3559999999989</v>
      </c>
      <c r="P33" s="32">
        <f>SUM(P11:P32)</f>
        <v>654.13587600000017</v>
      </c>
      <c r="Q33" s="32">
        <f>SUM(Q11:Q32)</f>
        <v>191.26779999999999</v>
      </c>
      <c r="R33" s="32">
        <f>SUM(R11:R32)</f>
        <v>191.26779999999999</v>
      </c>
      <c r="S33" s="32">
        <f>SUM(S13:S32)</f>
        <v>0</v>
      </c>
      <c r="T33" s="32">
        <f>SUM(T11:T32)</f>
        <v>4862.0274760000002</v>
      </c>
      <c r="U33" s="32">
        <f>SUM(U11:U32)</f>
        <v>33391.532523999987</v>
      </c>
      <c r="V33" s="19"/>
    </row>
    <row r="34" spans="1:26" s="18" customFormat="1" ht="9.75" customHeigh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3">
        <f>SUM(T33:T33)</f>
        <v>4862.0274760000002</v>
      </c>
      <c r="U34" s="23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 s="46"/>
      <c r="O35"/>
      <c r="P35"/>
      <c r="Q35"/>
      <c r="R35"/>
      <c r="S35"/>
      <c r="T35"/>
      <c r="U35"/>
      <c r="V35"/>
      <c r="Y35"/>
      <c r="Z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 t="s">
        <v>206</v>
      </c>
      <c r="L37"/>
      <c r="M37"/>
      <c r="N37"/>
      <c r="O37"/>
      <c r="P37"/>
      <c r="Q37"/>
      <c r="R37"/>
      <c r="S37"/>
      <c r="T37"/>
      <c r="U37"/>
      <c r="V37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Z16"/>
  <sheetViews>
    <sheetView workbookViewId="0">
      <selection activeCell="R18" sqref="R1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6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6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6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6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6" s="26" customFormat="1" ht="21.75" customHeight="1">
      <c r="A5" s="245" t="s">
        <v>211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6" s="26" customFormat="1" ht="19.5" customHeight="1">
      <c r="A6" s="245" t="s">
        <v>209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6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6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3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6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35" t="s">
        <v>15</v>
      </c>
      <c r="K9" s="235"/>
      <c r="L9" s="134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6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34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6" ht="22.5" customHeight="1">
      <c r="A11" s="57">
        <v>1</v>
      </c>
      <c r="B11" s="41" t="s">
        <v>45</v>
      </c>
      <c r="C11" s="41" t="s">
        <v>46</v>
      </c>
      <c r="D11" s="42"/>
      <c r="E11" s="14"/>
      <c r="F11" s="41" t="s">
        <v>47</v>
      </c>
      <c r="G11" s="30">
        <v>43101</v>
      </c>
      <c r="H11" s="63">
        <v>6</v>
      </c>
      <c r="I11" s="64"/>
      <c r="J11" s="14">
        <v>30</v>
      </c>
      <c r="K11" s="62">
        <v>2362</v>
      </c>
      <c r="L11" s="62"/>
      <c r="M11" s="43">
        <v>779.46</v>
      </c>
      <c r="N11" s="62">
        <f t="shared" ref="N11" si="0">K11+M11</f>
        <v>3141.46</v>
      </c>
      <c r="O11" s="62">
        <f t="shared" ref="O11" si="1">+N11*0.1</f>
        <v>314.14600000000002</v>
      </c>
      <c r="P11" s="62">
        <f t="shared" ref="P11" si="2">+N11*0.0171</f>
        <v>53.718966000000002</v>
      </c>
      <c r="Q11" s="62">
        <f t="shared" ref="Q11" si="3">+N11*0.005</f>
        <v>15.7073</v>
      </c>
      <c r="R11" s="62">
        <f t="shared" ref="R11" si="4">N11*0.5%</f>
        <v>15.7073</v>
      </c>
      <c r="S11" s="43">
        <v>0</v>
      </c>
      <c r="T11" s="43">
        <f t="shared" ref="T11" si="5">+O11+P11+Q11+R11+S11</f>
        <v>399.27956599999999</v>
      </c>
      <c r="U11" s="43">
        <f>+N11-T11</f>
        <v>2742.1804339999999</v>
      </c>
      <c r="V11" s="44"/>
      <c r="X11" s="108"/>
    </row>
    <row r="12" spans="1:26" s="18" customFormat="1" ht="21" customHeight="1">
      <c r="A12" s="33"/>
      <c r="B12" s="34"/>
      <c r="C12" s="35" t="s">
        <v>22</v>
      </c>
      <c r="D12" s="34"/>
      <c r="E12" s="36"/>
      <c r="F12" s="34"/>
      <c r="G12" s="34"/>
      <c r="H12" s="65"/>
      <c r="I12" s="65"/>
      <c r="J12" s="37"/>
      <c r="K12" s="32">
        <f>SUM(K11:K11)</f>
        <v>2362</v>
      </c>
      <c r="L12" s="32"/>
      <c r="M12" s="32">
        <f t="shared" ref="M12:U12" si="6">SUM(M11:M11)</f>
        <v>779.46</v>
      </c>
      <c r="N12" s="32">
        <f t="shared" si="6"/>
        <v>3141.46</v>
      </c>
      <c r="O12" s="32">
        <f t="shared" si="6"/>
        <v>314.14600000000002</v>
      </c>
      <c r="P12" s="32">
        <f t="shared" si="6"/>
        <v>53.718966000000002</v>
      </c>
      <c r="Q12" s="32">
        <f t="shared" si="6"/>
        <v>15.7073</v>
      </c>
      <c r="R12" s="32">
        <f t="shared" si="6"/>
        <v>15.7073</v>
      </c>
      <c r="S12" s="32">
        <f t="shared" si="6"/>
        <v>0</v>
      </c>
      <c r="T12" s="32">
        <f t="shared" si="6"/>
        <v>399.27956599999999</v>
      </c>
      <c r="U12" s="32">
        <f t="shared" si="6"/>
        <v>2742.1804339999999</v>
      </c>
      <c r="V12" s="19"/>
    </row>
    <row r="13" spans="1:26" s="18" customFormat="1" ht="9.75" customHeight="1">
      <c r="A13"/>
      <c r="B13"/>
      <c r="C13"/>
      <c r="D13"/>
      <c r="E13" s="9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23">
        <f>SUM(T12:T12)</f>
        <v>399.27956599999999</v>
      </c>
      <c r="U13" s="23"/>
    </row>
    <row r="14" spans="1:26" s="18" customFormat="1">
      <c r="A14"/>
      <c r="B14"/>
      <c r="C14"/>
      <c r="D14"/>
      <c r="E14" s="9"/>
      <c r="F14"/>
      <c r="G14"/>
      <c r="H14"/>
      <c r="I14"/>
      <c r="J14"/>
      <c r="K14"/>
      <c r="L14"/>
      <c r="M14"/>
      <c r="N14" s="46"/>
      <c r="O14"/>
      <c r="P14"/>
      <c r="Q14"/>
      <c r="R14"/>
      <c r="S14"/>
      <c r="T14"/>
      <c r="U14"/>
      <c r="V14"/>
      <c r="Y14"/>
      <c r="Z14"/>
    </row>
    <row r="15" spans="1:26" s="18" customFormat="1">
      <c r="A15"/>
      <c r="B15"/>
      <c r="C15"/>
      <c r="D15"/>
      <c r="E15" s="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6" s="18" customFormat="1">
      <c r="A16"/>
      <c r="B16"/>
      <c r="C16"/>
      <c r="D16"/>
      <c r="E16" s="9"/>
      <c r="F16"/>
      <c r="G16"/>
      <c r="H16"/>
      <c r="I16"/>
      <c r="J16"/>
      <c r="K16" t="s">
        <v>210</v>
      </c>
      <c r="L16"/>
      <c r="M16"/>
      <c r="N16"/>
      <c r="O16"/>
      <c r="P16"/>
      <c r="Q16"/>
      <c r="R16"/>
      <c r="S16"/>
      <c r="T16"/>
      <c r="U16"/>
      <c r="V16"/>
    </row>
  </sheetData>
  <mergeCells count="17"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Z38"/>
  <sheetViews>
    <sheetView topLeftCell="A20" workbookViewId="0">
      <selection activeCell="N36" sqref="N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212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6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38" t="s">
        <v>15</v>
      </c>
      <c r="K9" s="235"/>
      <c r="L9" s="137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37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62">
        <v>2512</v>
      </c>
      <c r="L11" s="60"/>
      <c r="M11" s="43">
        <v>0</v>
      </c>
      <c r="N11" s="62">
        <f t="shared" ref="N11:N33" si="0">K11+M11</f>
        <v>2512</v>
      </c>
      <c r="O11" s="62">
        <f t="shared" ref="O11:O33" si="1">+N11*0.1</f>
        <v>251.20000000000002</v>
      </c>
      <c r="P11" s="62">
        <f t="shared" ref="P11:P33" si="2">+N11*0.0171</f>
        <v>42.955200000000005</v>
      </c>
      <c r="Q11" s="62">
        <f t="shared" ref="Q11:Q33" si="3">+N11*0.005</f>
        <v>12.56</v>
      </c>
      <c r="R11" s="62">
        <f t="shared" ref="R11:R33" si="4">N11*0.5%</f>
        <v>12.56</v>
      </c>
      <c r="S11" s="43">
        <v>0</v>
      </c>
      <c r="T11" s="43">
        <f t="shared" ref="T11:T33" si="5">+O11+P11+Q11+R11+S11</f>
        <v>319.27520000000004</v>
      </c>
      <c r="U11" s="43">
        <f t="shared" ref="U11:U33" si="6">+N11-T11</f>
        <v>2192.7248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4184.88</v>
      </c>
      <c r="L13" s="62"/>
      <c r="M13" s="43">
        <v>0</v>
      </c>
      <c r="N13" s="62">
        <f t="shared" si="0"/>
        <v>4184.88</v>
      </c>
      <c r="O13" s="62">
        <f t="shared" si="1"/>
        <v>418.48800000000006</v>
      </c>
      <c r="P13" s="62">
        <f t="shared" si="2"/>
        <v>71.561447999999999</v>
      </c>
      <c r="Q13" s="62">
        <f t="shared" si="3"/>
        <v>20.924400000000002</v>
      </c>
      <c r="R13" s="62">
        <f t="shared" si="4"/>
        <v>20.924400000000002</v>
      </c>
      <c r="S13" s="43">
        <v>0</v>
      </c>
      <c r="T13" s="43">
        <f t="shared" si="5"/>
        <v>531.89824800000008</v>
      </c>
      <c r="U13" s="43">
        <f t="shared" si="6"/>
        <v>3652.9817520000001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4116.2700000000004</v>
      </c>
      <c r="L14" s="62"/>
      <c r="M14" s="43">
        <v>0</v>
      </c>
      <c r="N14" s="62">
        <f t="shared" si="0"/>
        <v>4116.2700000000004</v>
      </c>
      <c r="O14" s="62">
        <f t="shared" si="1"/>
        <v>411.62700000000007</v>
      </c>
      <c r="P14" s="62">
        <f t="shared" si="2"/>
        <v>70.388217000000012</v>
      </c>
      <c r="Q14" s="62">
        <f t="shared" si="3"/>
        <v>20.581350000000004</v>
      </c>
      <c r="R14" s="62">
        <f t="shared" si="4"/>
        <v>20.581350000000004</v>
      </c>
      <c r="S14" s="43">
        <v>0</v>
      </c>
      <c r="T14" s="43">
        <f t="shared" si="5"/>
        <v>523.17791700000009</v>
      </c>
      <c r="U14" s="43">
        <f t="shared" si="6"/>
        <v>3593.0920830000005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2934.68</v>
      </c>
      <c r="L15" s="62"/>
      <c r="M15" s="43">
        <v>0</v>
      </c>
      <c r="N15" s="62">
        <f t="shared" si="0"/>
        <v>2934.68</v>
      </c>
      <c r="O15" s="62">
        <f t="shared" si="1"/>
        <v>293.46800000000002</v>
      </c>
      <c r="P15" s="62">
        <f t="shared" si="2"/>
        <v>50.183028</v>
      </c>
      <c r="Q15" s="62">
        <f t="shared" si="3"/>
        <v>14.673399999999999</v>
      </c>
      <c r="R15" s="62">
        <f t="shared" si="4"/>
        <v>14.673399999999999</v>
      </c>
      <c r="S15" s="43">
        <v>0</v>
      </c>
      <c r="T15" s="43">
        <f t="shared" si="5"/>
        <v>372.99782800000003</v>
      </c>
      <c r="U15" s="43">
        <f t="shared" si="6"/>
        <v>2561.6821719999998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3067.04</v>
      </c>
      <c r="L16" s="62"/>
      <c r="M16" s="43">
        <v>0</v>
      </c>
      <c r="N16" s="62">
        <f t="shared" si="0"/>
        <v>3067.04</v>
      </c>
      <c r="O16" s="62">
        <f t="shared" si="1"/>
        <v>306.70400000000001</v>
      </c>
      <c r="P16" s="62">
        <f t="shared" si="2"/>
        <v>52.446384000000002</v>
      </c>
      <c r="Q16" s="62">
        <f t="shared" si="3"/>
        <v>15.3352</v>
      </c>
      <c r="R16" s="62">
        <f t="shared" si="4"/>
        <v>15.3352</v>
      </c>
      <c r="S16" s="43">
        <v>0</v>
      </c>
      <c r="T16" s="43">
        <f t="shared" si="5"/>
        <v>389.820784</v>
      </c>
      <c r="U16" s="43">
        <f t="shared" si="6"/>
        <v>2677.219216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2472</v>
      </c>
      <c r="L17" s="62"/>
      <c r="M17" s="43">
        <v>0</v>
      </c>
      <c r="N17" s="62">
        <f t="shared" si="0"/>
        <v>2472</v>
      </c>
      <c r="O17" s="62">
        <f t="shared" si="1"/>
        <v>247.20000000000002</v>
      </c>
      <c r="P17" s="62">
        <f t="shared" si="2"/>
        <v>42.2712</v>
      </c>
      <c r="Q17" s="62">
        <f t="shared" si="3"/>
        <v>12.36</v>
      </c>
      <c r="R17" s="62">
        <f t="shared" si="4"/>
        <v>12.36</v>
      </c>
      <c r="S17" s="43">
        <v>0</v>
      </c>
      <c r="T17" s="43">
        <f t="shared" si="5"/>
        <v>314.19120000000004</v>
      </c>
      <c r="U17" s="43">
        <f t="shared" si="6"/>
        <v>2157.8087999999998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3500</v>
      </c>
      <c r="L23" s="62"/>
      <c r="M23" s="43">
        <v>0</v>
      </c>
      <c r="N23" s="62">
        <f>K23+M23</f>
        <v>3500</v>
      </c>
      <c r="O23" s="62">
        <f>+N23*0.1</f>
        <v>350</v>
      </c>
      <c r="P23" s="62">
        <f>+N23*0.0171</f>
        <v>59.85</v>
      </c>
      <c r="Q23" s="62">
        <f>+N23*0.005</f>
        <v>17.5</v>
      </c>
      <c r="R23" s="62">
        <f>N23*0.5%</f>
        <v>17.5</v>
      </c>
      <c r="S23" s="43">
        <v>0</v>
      </c>
      <c r="T23" s="43">
        <f>+O23+P23+Q23+R23+S23</f>
        <v>444.85</v>
      </c>
      <c r="U23" s="43">
        <f>+N23-T23</f>
        <v>3055.15</v>
      </c>
      <c r="V23" s="44"/>
      <c r="X23" s="45"/>
    </row>
    <row r="24" spans="1:24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2430.75</v>
      </c>
      <c r="L24" s="62"/>
      <c r="M24" s="43">
        <v>0</v>
      </c>
      <c r="N24" s="62">
        <f t="shared" si="0"/>
        <v>2430.75</v>
      </c>
      <c r="O24" s="62">
        <f t="shared" si="1"/>
        <v>243.07500000000002</v>
      </c>
      <c r="P24" s="62">
        <f t="shared" si="2"/>
        <v>41.565825000000004</v>
      </c>
      <c r="Q24" s="62">
        <f t="shared" si="3"/>
        <v>12.15375</v>
      </c>
      <c r="R24" s="62">
        <f t="shared" si="4"/>
        <v>12.15375</v>
      </c>
      <c r="S24" s="43">
        <v>0</v>
      </c>
      <c r="T24" s="43">
        <f t="shared" si="5"/>
        <v>308.94832500000001</v>
      </c>
      <c r="U24" s="43">
        <f t="shared" si="6"/>
        <v>2121.8016750000002</v>
      </c>
      <c r="V24" s="44"/>
      <c r="X24" s="45"/>
    </row>
    <row r="25" spans="1:24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2362</v>
      </c>
      <c r="L26" s="62"/>
      <c r="M26" s="43">
        <v>0</v>
      </c>
      <c r="N26" s="62">
        <f t="shared" si="0"/>
        <v>2362</v>
      </c>
      <c r="O26" s="62">
        <f t="shared" si="1"/>
        <v>236.20000000000002</v>
      </c>
      <c r="P26" s="62">
        <f t="shared" si="2"/>
        <v>40.3902</v>
      </c>
      <c r="Q26" s="62">
        <f t="shared" si="3"/>
        <v>11.81</v>
      </c>
      <c r="R26" s="62">
        <f t="shared" si="4"/>
        <v>11.81</v>
      </c>
      <c r="S26" s="43">
        <v>0</v>
      </c>
      <c r="T26" s="43">
        <f t="shared" si="5"/>
        <v>300.21020000000004</v>
      </c>
      <c r="U26" s="43">
        <f t="shared" si="6"/>
        <v>2061.7898</v>
      </c>
      <c r="V26" s="44"/>
      <c r="X26" s="45"/>
    </row>
    <row r="27" spans="1:24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2410.81</v>
      </c>
      <c r="L27" s="62"/>
      <c r="M27" s="43">
        <v>0</v>
      </c>
      <c r="N27" s="62">
        <f t="shared" si="0"/>
        <v>2410.81</v>
      </c>
      <c r="O27" s="62">
        <f t="shared" si="1"/>
        <v>241.08100000000002</v>
      </c>
      <c r="P27" s="62">
        <f t="shared" si="2"/>
        <v>41.224851000000001</v>
      </c>
      <c r="Q27" s="62">
        <f t="shared" si="3"/>
        <v>12.05405</v>
      </c>
      <c r="R27" s="62">
        <f t="shared" si="4"/>
        <v>12.05405</v>
      </c>
      <c r="S27" s="43">
        <v>0</v>
      </c>
      <c r="T27" s="43">
        <f t="shared" si="5"/>
        <v>306.41395100000005</v>
      </c>
      <c r="U27" s="43">
        <f t="shared" si="6"/>
        <v>2104.3960489999999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2472</v>
      </c>
      <c r="L28" s="62"/>
      <c r="M28" s="43">
        <v>0</v>
      </c>
      <c r="N28" s="62">
        <f t="shared" si="0"/>
        <v>2472</v>
      </c>
      <c r="O28" s="62">
        <f t="shared" si="1"/>
        <v>247.20000000000002</v>
      </c>
      <c r="P28" s="62">
        <f t="shared" si="2"/>
        <v>42.2712</v>
      </c>
      <c r="Q28" s="62">
        <f t="shared" si="3"/>
        <v>12.36</v>
      </c>
      <c r="R28" s="62">
        <f t="shared" si="4"/>
        <v>12.36</v>
      </c>
      <c r="S28" s="43">
        <v>0</v>
      </c>
      <c r="T28" s="43">
        <f t="shared" si="5"/>
        <v>314.19120000000004</v>
      </c>
      <c r="U28" s="43">
        <f t="shared" si="6"/>
        <v>2157.8087999999998</v>
      </c>
      <c r="V28" s="44"/>
      <c r="X28" s="45"/>
    </row>
    <row r="29" spans="1:24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2472</v>
      </c>
      <c r="L29" s="62"/>
      <c r="M29" s="43">
        <v>0</v>
      </c>
      <c r="N29" s="62">
        <f>K29+M29</f>
        <v>2472</v>
      </c>
      <c r="O29" s="62">
        <f>+N29*0.1</f>
        <v>247.20000000000002</v>
      </c>
      <c r="P29" s="62">
        <f>+N29*0.0171</f>
        <v>42.2712</v>
      </c>
      <c r="Q29" s="62">
        <f>+N29*0.005</f>
        <v>12.36</v>
      </c>
      <c r="R29" s="62">
        <f>N29*0.5%</f>
        <v>12.36</v>
      </c>
      <c r="S29" s="43">
        <v>0</v>
      </c>
      <c r="T29" s="43">
        <f>+O29+P29+Q29+R29+S29</f>
        <v>314.19120000000004</v>
      </c>
      <c r="U29" s="43">
        <f>+N29-T29</f>
        <v>2157.8087999999998</v>
      </c>
      <c r="V29" s="44"/>
      <c r="X29" s="45"/>
    </row>
    <row r="30" spans="1:24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2538.73</v>
      </c>
      <c r="L30" s="62"/>
      <c r="M30" s="43">
        <v>0</v>
      </c>
      <c r="N30" s="62">
        <f t="shared" si="0"/>
        <v>2538.73</v>
      </c>
      <c r="O30" s="62">
        <f t="shared" si="1"/>
        <v>253.87300000000002</v>
      </c>
      <c r="P30" s="62">
        <f t="shared" si="2"/>
        <v>43.412283000000002</v>
      </c>
      <c r="Q30" s="62">
        <f t="shared" si="3"/>
        <v>12.69365</v>
      </c>
      <c r="R30" s="62">
        <f t="shared" si="4"/>
        <v>12.69365</v>
      </c>
      <c r="S30" s="43">
        <v>0</v>
      </c>
      <c r="T30" s="43">
        <f t="shared" si="5"/>
        <v>322.67258300000003</v>
      </c>
      <c r="U30" s="43">
        <f t="shared" si="6"/>
        <v>2216.057417</v>
      </c>
      <c r="V30" s="44"/>
      <c r="X30" s="45"/>
    </row>
    <row r="31" spans="1:24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2853.45</v>
      </c>
      <c r="L31" s="69"/>
      <c r="M31" s="43">
        <v>0</v>
      </c>
      <c r="N31" s="62">
        <f t="shared" si="0"/>
        <v>2853.45</v>
      </c>
      <c r="O31" s="62">
        <f t="shared" si="1"/>
        <v>285.34499999999997</v>
      </c>
      <c r="P31" s="62">
        <f t="shared" si="2"/>
        <v>48.793994999999995</v>
      </c>
      <c r="Q31" s="62">
        <f t="shared" si="3"/>
        <v>14.267249999999999</v>
      </c>
      <c r="R31" s="62">
        <f t="shared" si="4"/>
        <v>14.267249999999999</v>
      </c>
      <c r="S31" s="43">
        <v>0</v>
      </c>
      <c r="T31" s="43">
        <f t="shared" si="5"/>
        <v>362.67349499999995</v>
      </c>
      <c r="U31" s="43">
        <f t="shared" si="6"/>
        <v>2490.7765049999998</v>
      </c>
      <c r="V31" s="44"/>
      <c r="X31" s="45"/>
    </row>
    <row r="32" spans="1:24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2362</v>
      </c>
      <c r="L33" s="69"/>
      <c r="M33" s="43">
        <v>0</v>
      </c>
      <c r="N33" s="62">
        <f t="shared" si="0"/>
        <v>2362</v>
      </c>
      <c r="O33" s="62">
        <f t="shared" si="1"/>
        <v>236.20000000000002</v>
      </c>
      <c r="P33" s="62">
        <f t="shared" si="2"/>
        <v>40.3902</v>
      </c>
      <c r="Q33" s="62">
        <f t="shared" si="3"/>
        <v>11.81</v>
      </c>
      <c r="R33" s="62">
        <f t="shared" si="4"/>
        <v>11.81</v>
      </c>
      <c r="S33" s="43">
        <v>0</v>
      </c>
      <c r="T33" s="43">
        <f t="shared" si="5"/>
        <v>300.21020000000004</v>
      </c>
      <c r="U33" s="43">
        <f t="shared" si="6"/>
        <v>2061.7898</v>
      </c>
      <c r="V33" s="44"/>
      <c r="X33" s="45"/>
    </row>
    <row r="34" spans="1:26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62191.1</v>
      </c>
      <c r="L34" s="32"/>
      <c r="M34" s="32">
        <f t="shared" ref="M34" si="7">SUM(M13:M30)</f>
        <v>779.46</v>
      </c>
      <c r="N34" s="32">
        <f>SUM(N11:N33)</f>
        <v>62970.559999999998</v>
      </c>
      <c r="O34" s="32">
        <f>SUM(O11:O33)</f>
        <v>6297.0559999999987</v>
      </c>
      <c r="P34" s="32">
        <f>SUM(P11:P33)</f>
        <v>1076.7965760000002</v>
      </c>
      <c r="Q34" s="32">
        <f>SUM(Q11:Q33)</f>
        <v>314.8528</v>
      </c>
      <c r="R34" s="32">
        <f>SUM(R11:R33)</f>
        <v>314.8528</v>
      </c>
      <c r="S34" s="32">
        <f>SUM(S13:S33)</f>
        <v>0</v>
      </c>
      <c r="T34" s="32">
        <f>SUM(T11:T33)</f>
        <v>8003.5581760000032</v>
      </c>
      <c r="U34" s="32">
        <f>SUM(U11:U33)</f>
        <v>54967.001824000006</v>
      </c>
      <c r="V34" s="19"/>
    </row>
    <row r="35" spans="1:26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3">
        <f>SUM(T34:T34)</f>
        <v>8003.5581760000032</v>
      </c>
      <c r="U35" s="23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 s="46"/>
      <c r="O36"/>
      <c r="P36"/>
      <c r="Q36"/>
      <c r="R36"/>
      <c r="S36"/>
      <c r="T36"/>
      <c r="U36"/>
      <c r="V36"/>
      <c r="Y36"/>
      <c r="Z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 t="s">
        <v>216</v>
      </c>
      <c r="L38"/>
      <c r="M38"/>
      <c r="N38"/>
      <c r="O38"/>
      <c r="P38"/>
      <c r="Q38"/>
      <c r="R38"/>
      <c r="S38"/>
      <c r="T38"/>
      <c r="U38"/>
      <c r="V38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Z38"/>
  <sheetViews>
    <sheetView workbookViewId="0">
      <selection activeCell="P45" sqref="P45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217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39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41" t="s">
        <v>15</v>
      </c>
      <c r="K9" s="235"/>
      <c r="L9" s="140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0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62">
        <v>2512</v>
      </c>
      <c r="L11" s="60"/>
      <c r="M11" s="43">
        <v>0</v>
      </c>
      <c r="N11" s="62">
        <f t="shared" ref="N11:N33" si="0">K11+M11</f>
        <v>2512</v>
      </c>
      <c r="O11" s="62">
        <f t="shared" ref="O11:O33" si="1">+N11*0.1</f>
        <v>251.20000000000002</v>
      </c>
      <c r="P11" s="62">
        <f t="shared" ref="P11:P33" si="2">+N11*0.0171</f>
        <v>42.955200000000005</v>
      </c>
      <c r="Q11" s="62">
        <f t="shared" ref="Q11:Q33" si="3">+N11*0.005</f>
        <v>12.56</v>
      </c>
      <c r="R11" s="62">
        <f t="shared" ref="R11:R33" si="4">N11*0.5%</f>
        <v>12.56</v>
      </c>
      <c r="S11" s="43">
        <v>0</v>
      </c>
      <c r="T11" s="43">
        <f t="shared" ref="T11:T33" si="5">+O11+P11+Q11+R11+S11</f>
        <v>319.27520000000004</v>
      </c>
      <c r="U11" s="43">
        <f t="shared" ref="U11:U33" si="6">+N11-T11</f>
        <v>2192.7248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4184.88</v>
      </c>
      <c r="L13" s="62"/>
      <c r="M13" s="43">
        <v>0</v>
      </c>
      <c r="N13" s="62">
        <f t="shared" si="0"/>
        <v>4184.88</v>
      </c>
      <c r="O13" s="62">
        <f t="shared" si="1"/>
        <v>418.48800000000006</v>
      </c>
      <c r="P13" s="62">
        <f t="shared" si="2"/>
        <v>71.561447999999999</v>
      </c>
      <c r="Q13" s="62">
        <f t="shared" si="3"/>
        <v>20.924400000000002</v>
      </c>
      <c r="R13" s="62">
        <f t="shared" si="4"/>
        <v>20.924400000000002</v>
      </c>
      <c r="S13" s="43">
        <v>0</v>
      </c>
      <c r="T13" s="43">
        <f t="shared" si="5"/>
        <v>531.89824800000008</v>
      </c>
      <c r="U13" s="43">
        <f t="shared" si="6"/>
        <v>3652.9817520000001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4116.2700000000004</v>
      </c>
      <c r="L14" s="62"/>
      <c r="M14" s="43">
        <v>0</v>
      </c>
      <c r="N14" s="62">
        <f t="shared" si="0"/>
        <v>4116.2700000000004</v>
      </c>
      <c r="O14" s="62">
        <f t="shared" si="1"/>
        <v>411.62700000000007</v>
      </c>
      <c r="P14" s="62">
        <f t="shared" si="2"/>
        <v>70.388217000000012</v>
      </c>
      <c r="Q14" s="62">
        <f t="shared" si="3"/>
        <v>20.581350000000004</v>
      </c>
      <c r="R14" s="62">
        <f t="shared" si="4"/>
        <v>20.581350000000004</v>
      </c>
      <c r="S14" s="43">
        <v>0</v>
      </c>
      <c r="T14" s="43">
        <f t="shared" si="5"/>
        <v>523.17791700000009</v>
      </c>
      <c r="U14" s="43">
        <f t="shared" si="6"/>
        <v>3593.0920830000005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2934.68</v>
      </c>
      <c r="L15" s="62"/>
      <c r="M15" s="43">
        <v>0</v>
      </c>
      <c r="N15" s="62">
        <f t="shared" si="0"/>
        <v>2934.68</v>
      </c>
      <c r="O15" s="62">
        <f t="shared" si="1"/>
        <v>293.46800000000002</v>
      </c>
      <c r="P15" s="62">
        <f t="shared" si="2"/>
        <v>50.183028</v>
      </c>
      <c r="Q15" s="62">
        <f t="shared" si="3"/>
        <v>14.673399999999999</v>
      </c>
      <c r="R15" s="62">
        <f t="shared" si="4"/>
        <v>14.673399999999999</v>
      </c>
      <c r="S15" s="43">
        <v>0</v>
      </c>
      <c r="T15" s="43">
        <f t="shared" si="5"/>
        <v>372.99782800000003</v>
      </c>
      <c r="U15" s="43">
        <f t="shared" si="6"/>
        <v>2561.6821719999998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3067.04</v>
      </c>
      <c r="L16" s="62"/>
      <c r="M16" s="43">
        <v>0</v>
      </c>
      <c r="N16" s="62">
        <f t="shared" si="0"/>
        <v>3067.04</v>
      </c>
      <c r="O16" s="62">
        <f t="shared" si="1"/>
        <v>306.70400000000001</v>
      </c>
      <c r="P16" s="62">
        <f t="shared" si="2"/>
        <v>52.446384000000002</v>
      </c>
      <c r="Q16" s="62">
        <f t="shared" si="3"/>
        <v>15.3352</v>
      </c>
      <c r="R16" s="62">
        <f t="shared" si="4"/>
        <v>15.3352</v>
      </c>
      <c r="S16" s="43">
        <v>0</v>
      </c>
      <c r="T16" s="43">
        <f t="shared" si="5"/>
        <v>389.820784</v>
      </c>
      <c r="U16" s="43">
        <f t="shared" si="6"/>
        <v>2677.219216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2472</v>
      </c>
      <c r="L17" s="62"/>
      <c r="M17" s="43">
        <v>0</v>
      </c>
      <c r="N17" s="62">
        <f t="shared" si="0"/>
        <v>2472</v>
      </c>
      <c r="O17" s="62">
        <f t="shared" si="1"/>
        <v>247.20000000000002</v>
      </c>
      <c r="P17" s="62">
        <f t="shared" si="2"/>
        <v>42.2712</v>
      </c>
      <c r="Q17" s="62">
        <f t="shared" si="3"/>
        <v>12.36</v>
      </c>
      <c r="R17" s="62">
        <f t="shared" si="4"/>
        <v>12.36</v>
      </c>
      <c r="S17" s="43">
        <v>0</v>
      </c>
      <c r="T17" s="43">
        <f t="shared" si="5"/>
        <v>314.19120000000004</v>
      </c>
      <c r="U17" s="43">
        <f t="shared" si="6"/>
        <v>2157.8087999999998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3500</v>
      </c>
      <c r="L23" s="62"/>
      <c r="M23" s="43">
        <v>0</v>
      </c>
      <c r="N23" s="62">
        <f>K23+M23</f>
        <v>3500</v>
      </c>
      <c r="O23" s="62">
        <f>+N23*0.1</f>
        <v>350</v>
      </c>
      <c r="P23" s="62">
        <f>+N23*0.0171</f>
        <v>59.85</v>
      </c>
      <c r="Q23" s="62">
        <f>+N23*0.005</f>
        <v>17.5</v>
      </c>
      <c r="R23" s="62">
        <f>N23*0.5%</f>
        <v>17.5</v>
      </c>
      <c r="S23" s="43">
        <v>0</v>
      </c>
      <c r="T23" s="43">
        <f>+O23+P23+Q23+R23+S23</f>
        <v>444.85</v>
      </c>
      <c r="U23" s="43">
        <f>+N23-T23</f>
        <v>3055.15</v>
      </c>
      <c r="V23" s="44"/>
      <c r="X23" s="45"/>
    </row>
    <row r="24" spans="1:24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2430.75</v>
      </c>
      <c r="L24" s="62"/>
      <c r="M24" s="43">
        <v>0</v>
      </c>
      <c r="N24" s="62">
        <f t="shared" si="0"/>
        <v>2430.75</v>
      </c>
      <c r="O24" s="62">
        <f t="shared" si="1"/>
        <v>243.07500000000002</v>
      </c>
      <c r="P24" s="62">
        <f t="shared" si="2"/>
        <v>41.565825000000004</v>
      </c>
      <c r="Q24" s="62">
        <f t="shared" si="3"/>
        <v>12.15375</v>
      </c>
      <c r="R24" s="62">
        <f t="shared" si="4"/>
        <v>12.15375</v>
      </c>
      <c r="S24" s="43">
        <v>0</v>
      </c>
      <c r="T24" s="43">
        <f t="shared" si="5"/>
        <v>308.94832500000001</v>
      </c>
      <c r="U24" s="43">
        <f t="shared" si="6"/>
        <v>2121.8016750000002</v>
      </c>
      <c r="V24" s="44"/>
      <c r="X24" s="45"/>
    </row>
    <row r="25" spans="1:24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2362</v>
      </c>
      <c r="L26" s="62"/>
      <c r="M26" s="43">
        <v>0</v>
      </c>
      <c r="N26" s="62">
        <f t="shared" si="0"/>
        <v>2362</v>
      </c>
      <c r="O26" s="62">
        <f t="shared" si="1"/>
        <v>236.20000000000002</v>
      </c>
      <c r="P26" s="62">
        <f t="shared" si="2"/>
        <v>40.3902</v>
      </c>
      <c r="Q26" s="62">
        <f t="shared" si="3"/>
        <v>11.81</v>
      </c>
      <c r="R26" s="62">
        <f t="shared" si="4"/>
        <v>11.81</v>
      </c>
      <c r="S26" s="43">
        <v>0</v>
      </c>
      <c r="T26" s="43">
        <f t="shared" si="5"/>
        <v>300.21020000000004</v>
      </c>
      <c r="U26" s="43">
        <f t="shared" si="6"/>
        <v>2061.7898</v>
      </c>
      <c r="V26" s="44"/>
      <c r="X26" s="45"/>
    </row>
    <row r="27" spans="1:24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2410.81</v>
      </c>
      <c r="L27" s="62"/>
      <c r="M27" s="43">
        <v>0</v>
      </c>
      <c r="N27" s="62">
        <f t="shared" si="0"/>
        <v>2410.81</v>
      </c>
      <c r="O27" s="62">
        <f t="shared" si="1"/>
        <v>241.08100000000002</v>
      </c>
      <c r="P27" s="62">
        <f t="shared" si="2"/>
        <v>41.224851000000001</v>
      </c>
      <c r="Q27" s="62">
        <f t="shared" si="3"/>
        <v>12.05405</v>
      </c>
      <c r="R27" s="62">
        <f t="shared" si="4"/>
        <v>12.05405</v>
      </c>
      <c r="S27" s="43">
        <v>0</v>
      </c>
      <c r="T27" s="43">
        <f t="shared" si="5"/>
        <v>306.41395100000005</v>
      </c>
      <c r="U27" s="43">
        <f t="shared" si="6"/>
        <v>2104.3960489999999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2472</v>
      </c>
      <c r="L28" s="62"/>
      <c r="M28" s="43">
        <v>0</v>
      </c>
      <c r="N28" s="62">
        <f t="shared" si="0"/>
        <v>2472</v>
      </c>
      <c r="O28" s="62">
        <f t="shared" si="1"/>
        <v>247.20000000000002</v>
      </c>
      <c r="P28" s="62">
        <f t="shared" si="2"/>
        <v>42.2712</v>
      </c>
      <c r="Q28" s="62">
        <f t="shared" si="3"/>
        <v>12.36</v>
      </c>
      <c r="R28" s="62">
        <f t="shared" si="4"/>
        <v>12.36</v>
      </c>
      <c r="S28" s="43">
        <v>0</v>
      </c>
      <c r="T28" s="43">
        <f t="shared" si="5"/>
        <v>314.19120000000004</v>
      </c>
      <c r="U28" s="43">
        <f t="shared" si="6"/>
        <v>2157.8087999999998</v>
      </c>
      <c r="V28" s="44"/>
      <c r="X28" s="45"/>
    </row>
    <row r="29" spans="1:24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2472</v>
      </c>
      <c r="L29" s="62"/>
      <c r="M29" s="43">
        <v>0</v>
      </c>
      <c r="N29" s="62">
        <f>K29+M29</f>
        <v>2472</v>
      </c>
      <c r="O29" s="62">
        <f>+N29*0.1</f>
        <v>247.20000000000002</v>
      </c>
      <c r="P29" s="62">
        <f>+N29*0.0171</f>
        <v>42.2712</v>
      </c>
      <c r="Q29" s="62">
        <f>+N29*0.005</f>
        <v>12.36</v>
      </c>
      <c r="R29" s="62">
        <f>N29*0.5%</f>
        <v>12.36</v>
      </c>
      <c r="S29" s="43">
        <v>0</v>
      </c>
      <c r="T29" s="43">
        <f>+O29+P29+Q29+R29+S29</f>
        <v>314.19120000000004</v>
      </c>
      <c r="U29" s="43">
        <f>+N29-T29</f>
        <v>2157.8087999999998</v>
      </c>
      <c r="V29" s="44"/>
      <c r="X29" s="45"/>
    </row>
    <row r="30" spans="1:24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2538.73</v>
      </c>
      <c r="L30" s="62"/>
      <c r="M30" s="43">
        <v>0</v>
      </c>
      <c r="N30" s="62">
        <f t="shared" si="0"/>
        <v>2538.73</v>
      </c>
      <c r="O30" s="62">
        <f t="shared" si="1"/>
        <v>253.87300000000002</v>
      </c>
      <c r="P30" s="62">
        <f t="shared" si="2"/>
        <v>43.412283000000002</v>
      </c>
      <c r="Q30" s="62">
        <f t="shared" si="3"/>
        <v>12.69365</v>
      </c>
      <c r="R30" s="62">
        <f t="shared" si="4"/>
        <v>12.69365</v>
      </c>
      <c r="S30" s="43">
        <v>0</v>
      </c>
      <c r="T30" s="43">
        <f t="shared" si="5"/>
        <v>322.67258300000003</v>
      </c>
      <c r="U30" s="43">
        <f t="shared" si="6"/>
        <v>2216.057417</v>
      </c>
      <c r="V30" s="44"/>
      <c r="X30" s="45"/>
    </row>
    <row r="31" spans="1:24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2853.45</v>
      </c>
      <c r="L31" s="69"/>
      <c r="M31" s="43">
        <v>0</v>
      </c>
      <c r="N31" s="62">
        <f t="shared" si="0"/>
        <v>2853.45</v>
      </c>
      <c r="O31" s="62">
        <f t="shared" si="1"/>
        <v>285.34499999999997</v>
      </c>
      <c r="P31" s="62">
        <f t="shared" si="2"/>
        <v>48.793994999999995</v>
      </c>
      <c r="Q31" s="62">
        <f t="shared" si="3"/>
        <v>14.267249999999999</v>
      </c>
      <c r="R31" s="62">
        <f t="shared" si="4"/>
        <v>14.267249999999999</v>
      </c>
      <c r="S31" s="43">
        <v>0</v>
      </c>
      <c r="T31" s="43">
        <f t="shared" si="5"/>
        <v>362.67349499999995</v>
      </c>
      <c r="U31" s="43">
        <f t="shared" si="6"/>
        <v>2490.7765049999998</v>
      </c>
      <c r="V31" s="44"/>
      <c r="X31" s="45"/>
    </row>
    <row r="32" spans="1:24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2362</v>
      </c>
      <c r="L33" s="69"/>
      <c r="M33" s="43">
        <v>0</v>
      </c>
      <c r="N33" s="62">
        <f t="shared" si="0"/>
        <v>2362</v>
      </c>
      <c r="O33" s="62">
        <f t="shared" si="1"/>
        <v>236.20000000000002</v>
      </c>
      <c r="P33" s="62">
        <f t="shared" si="2"/>
        <v>40.3902</v>
      </c>
      <c r="Q33" s="62">
        <f t="shared" si="3"/>
        <v>11.81</v>
      </c>
      <c r="R33" s="62">
        <f t="shared" si="4"/>
        <v>11.81</v>
      </c>
      <c r="S33" s="43">
        <v>0</v>
      </c>
      <c r="T33" s="43">
        <f t="shared" si="5"/>
        <v>300.21020000000004</v>
      </c>
      <c r="U33" s="43">
        <f t="shared" si="6"/>
        <v>2061.7898</v>
      </c>
      <c r="V33" s="44"/>
      <c r="X33" s="45"/>
    </row>
    <row r="34" spans="1:26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62191.1</v>
      </c>
      <c r="L34" s="32"/>
      <c r="M34" s="32">
        <f t="shared" ref="M34" si="7">SUM(M13:M30)</f>
        <v>779.46</v>
      </c>
      <c r="N34" s="32">
        <f>SUM(N11:N33)</f>
        <v>62970.559999999998</v>
      </c>
      <c r="O34" s="32">
        <f>SUM(O11:O33)</f>
        <v>6297.0559999999987</v>
      </c>
      <c r="P34" s="32">
        <f>SUM(P11:P33)</f>
        <v>1076.7965760000002</v>
      </c>
      <c r="Q34" s="32">
        <f>SUM(Q11:Q33)</f>
        <v>314.8528</v>
      </c>
      <c r="R34" s="32">
        <f>SUM(R11:R33)</f>
        <v>314.8528</v>
      </c>
      <c r="S34" s="32">
        <f>SUM(S13:S33)</f>
        <v>0</v>
      </c>
      <c r="T34" s="32">
        <f>SUM(T11:T33)</f>
        <v>8003.5581760000032</v>
      </c>
      <c r="U34" s="32">
        <f>SUM(U11:U33)</f>
        <v>54967.001824000006</v>
      </c>
      <c r="V34" s="19"/>
    </row>
    <row r="35" spans="1:26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3">
        <f>SUM(T34:T34)</f>
        <v>8003.5581760000032</v>
      </c>
      <c r="U35" s="23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 s="46"/>
      <c r="O36"/>
      <c r="P36"/>
      <c r="Q36"/>
      <c r="R36"/>
      <c r="S36"/>
      <c r="T36"/>
      <c r="U36"/>
      <c r="V36"/>
      <c r="Y36"/>
      <c r="Z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 t="s">
        <v>218</v>
      </c>
      <c r="L38"/>
      <c r="M38"/>
      <c r="N38"/>
      <c r="O38"/>
      <c r="P38"/>
      <c r="Q38"/>
      <c r="R38"/>
      <c r="S38"/>
      <c r="T38"/>
      <c r="U38"/>
      <c r="V38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Z38"/>
  <sheetViews>
    <sheetView workbookViewId="0">
      <selection activeCell="P45" sqref="P45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217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43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42" t="s">
        <v>15</v>
      </c>
      <c r="K9" s="235"/>
      <c r="L9" s="144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4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62">
        <v>2512</v>
      </c>
      <c r="L11" s="60"/>
      <c r="M11" s="43">
        <v>0</v>
      </c>
      <c r="N11" s="62">
        <f t="shared" ref="N11:N33" si="0">K11+M11</f>
        <v>2512</v>
      </c>
      <c r="O11" s="62">
        <f t="shared" ref="O11:O33" si="1">+N11*0.1</f>
        <v>251.20000000000002</v>
      </c>
      <c r="P11" s="62">
        <f t="shared" ref="P11:P33" si="2">+N11*0.0171</f>
        <v>42.955200000000005</v>
      </c>
      <c r="Q11" s="62">
        <f t="shared" ref="Q11:Q33" si="3">+N11*0.005</f>
        <v>12.56</v>
      </c>
      <c r="R11" s="62">
        <f t="shared" ref="R11:R33" si="4">N11*0.5%</f>
        <v>12.56</v>
      </c>
      <c r="S11" s="43">
        <v>0</v>
      </c>
      <c r="T11" s="43">
        <f t="shared" ref="T11:T33" si="5">+O11+P11+Q11+R11+S11</f>
        <v>319.27520000000004</v>
      </c>
      <c r="U11" s="43">
        <f t="shared" ref="U11:U33" si="6">+N11-T11</f>
        <v>2192.7248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2472</v>
      </c>
      <c r="L12" s="60"/>
      <c r="M12" s="43">
        <v>0</v>
      </c>
      <c r="N12" s="62">
        <f t="shared" si="0"/>
        <v>2472</v>
      </c>
      <c r="O12" s="62">
        <f t="shared" si="1"/>
        <v>247.20000000000002</v>
      </c>
      <c r="P12" s="62">
        <f t="shared" si="2"/>
        <v>42.2712</v>
      </c>
      <c r="Q12" s="62">
        <f t="shared" si="3"/>
        <v>12.36</v>
      </c>
      <c r="R12" s="62">
        <f t="shared" si="4"/>
        <v>12.36</v>
      </c>
      <c r="S12" s="43">
        <v>0</v>
      </c>
      <c r="T12" s="43">
        <f t="shared" si="5"/>
        <v>314.19120000000004</v>
      </c>
      <c r="U12" s="43">
        <f t="shared" si="6"/>
        <v>2157.8087999999998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4184.88</v>
      </c>
      <c r="L13" s="62"/>
      <c r="M13" s="43">
        <v>0</v>
      </c>
      <c r="N13" s="62">
        <f t="shared" si="0"/>
        <v>4184.88</v>
      </c>
      <c r="O13" s="62">
        <f t="shared" si="1"/>
        <v>418.48800000000006</v>
      </c>
      <c r="P13" s="62">
        <f t="shared" si="2"/>
        <v>71.561447999999999</v>
      </c>
      <c r="Q13" s="62">
        <f t="shared" si="3"/>
        <v>20.924400000000002</v>
      </c>
      <c r="R13" s="62">
        <f t="shared" si="4"/>
        <v>20.924400000000002</v>
      </c>
      <c r="S13" s="43">
        <v>0</v>
      </c>
      <c r="T13" s="43">
        <f t="shared" si="5"/>
        <v>531.89824800000008</v>
      </c>
      <c r="U13" s="43">
        <f t="shared" si="6"/>
        <v>3652.9817520000001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4116.2700000000004</v>
      </c>
      <c r="L14" s="62"/>
      <c r="M14" s="43">
        <v>0</v>
      </c>
      <c r="N14" s="62">
        <f t="shared" si="0"/>
        <v>4116.2700000000004</v>
      </c>
      <c r="O14" s="62">
        <f t="shared" si="1"/>
        <v>411.62700000000007</v>
      </c>
      <c r="P14" s="62">
        <f t="shared" si="2"/>
        <v>70.388217000000012</v>
      </c>
      <c r="Q14" s="62">
        <f t="shared" si="3"/>
        <v>20.581350000000004</v>
      </c>
      <c r="R14" s="62">
        <f t="shared" si="4"/>
        <v>20.581350000000004</v>
      </c>
      <c r="S14" s="43">
        <v>0</v>
      </c>
      <c r="T14" s="43">
        <f t="shared" si="5"/>
        <v>523.17791700000009</v>
      </c>
      <c r="U14" s="43">
        <f t="shared" si="6"/>
        <v>3593.0920830000005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2934.68</v>
      </c>
      <c r="L15" s="62"/>
      <c r="M15" s="43">
        <v>0</v>
      </c>
      <c r="N15" s="62">
        <f t="shared" si="0"/>
        <v>2934.68</v>
      </c>
      <c r="O15" s="62">
        <f t="shared" si="1"/>
        <v>293.46800000000002</v>
      </c>
      <c r="P15" s="62">
        <f t="shared" si="2"/>
        <v>50.183028</v>
      </c>
      <c r="Q15" s="62">
        <f t="shared" si="3"/>
        <v>14.673399999999999</v>
      </c>
      <c r="R15" s="62">
        <f t="shared" si="4"/>
        <v>14.673399999999999</v>
      </c>
      <c r="S15" s="43">
        <v>0</v>
      </c>
      <c r="T15" s="43">
        <f t="shared" si="5"/>
        <v>372.99782800000003</v>
      </c>
      <c r="U15" s="43">
        <f t="shared" si="6"/>
        <v>2561.6821719999998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3067.04</v>
      </c>
      <c r="L16" s="62"/>
      <c r="M16" s="43">
        <v>0</v>
      </c>
      <c r="N16" s="62">
        <f t="shared" si="0"/>
        <v>3067.04</v>
      </c>
      <c r="O16" s="62">
        <f t="shared" si="1"/>
        <v>306.70400000000001</v>
      </c>
      <c r="P16" s="62">
        <f t="shared" si="2"/>
        <v>52.446384000000002</v>
      </c>
      <c r="Q16" s="62">
        <f t="shared" si="3"/>
        <v>15.3352</v>
      </c>
      <c r="R16" s="62">
        <f t="shared" si="4"/>
        <v>15.3352</v>
      </c>
      <c r="S16" s="43">
        <v>0</v>
      </c>
      <c r="T16" s="43">
        <f t="shared" si="5"/>
        <v>389.820784</v>
      </c>
      <c r="U16" s="43">
        <f t="shared" si="6"/>
        <v>2677.219216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2472</v>
      </c>
      <c r="L17" s="62"/>
      <c r="M17" s="43">
        <v>0</v>
      </c>
      <c r="N17" s="62">
        <f t="shared" si="0"/>
        <v>2472</v>
      </c>
      <c r="O17" s="62">
        <f t="shared" si="1"/>
        <v>247.20000000000002</v>
      </c>
      <c r="P17" s="62">
        <f t="shared" si="2"/>
        <v>42.2712</v>
      </c>
      <c r="Q17" s="62">
        <f t="shared" si="3"/>
        <v>12.36</v>
      </c>
      <c r="R17" s="62">
        <f t="shared" si="4"/>
        <v>12.36</v>
      </c>
      <c r="S17" s="43">
        <v>0</v>
      </c>
      <c r="T17" s="43">
        <f t="shared" si="5"/>
        <v>314.19120000000004</v>
      </c>
      <c r="U17" s="43">
        <f t="shared" si="6"/>
        <v>2157.8087999999998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2575</v>
      </c>
      <c r="L18" s="62"/>
      <c r="M18" s="43">
        <v>0</v>
      </c>
      <c r="N18" s="62">
        <f t="shared" si="0"/>
        <v>2575</v>
      </c>
      <c r="O18" s="62">
        <f t="shared" si="1"/>
        <v>257.5</v>
      </c>
      <c r="P18" s="62">
        <f t="shared" si="2"/>
        <v>44.032499999999999</v>
      </c>
      <c r="Q18" s="62">
        <f t="shared" si="3"/>
        <v>12.875</v>
      </c>
      <c r="R18" s="62">
        <f t="shared" si="4"/>
        <v>12.875</v>
      </c>
      <c r="S18" s="43">
        <v>0</v>
      </c>
      <c r="T18" s="43">
        <f t="shared" si="5"/>
        <v>327.28250000000003</v>
      </c>
      <c r="U18" s="43">
        <f t="shared" si="6"/>
        <v>2247.7174999999997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43">
        <v>0</v>
      </c>
      <c r="N19" s="62">
        <f t="shared" si="0"/>
        <v>2362</v>
      </c>
      <c r="O19" s="62">
        <f t="shared" si="1"/>
        <v>236.20000000000002</v>
      </c>
      <c r="P19" s="62">
        <f t="shared" si="2"/>
        <v>40.3902</v>
      </c>
      <c r="Q19" s="62">
        <f t="shared" si="3"/>
        <v>11.81</v>
      </c>
      <c r="R19" s="62">
        <f t="shared" si="4"/>
        <v>11.81</v>
      </c>
      <c r="S19" s="43">
        <v>0</v>
      </c>
      <c r="T19" s="43">
        <f t="shared" si="5"/>
        <v>300.21020000000004</v>
      </c>
      <c r="U19" s="43">
        <f t="shared" si="6"/>
        <v>2061.7898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43">
        <v>779.46</v>
      </c>
      <c r="N20" s="62">
        <f t="shared" si="0"/>
        <v>3141.46</v>
      </c>
      <c r="O20" s="62">
        <f t="shared" si="1"/>
        <v>314.14600000000002</v>
      </c>
      <c r="P20" s="62">
        <f t="shared" si="2"/>
        <v>53.718966000000002</v>
      </c>
      <c r="Q20" s="62">
        <f t="shared" si="3"/>
        <v>15.7073</v>
      </c>
      <c r="R20" s="62">
        <f t="shared" si="4"/>
        <v>15.7073</v>
      </c>
      <c r="S20" s="43">
        <v>0</v>
      </c>
      <c r="T20" s="43">
        <f t="shared" si="5"/>
        <v>399.27956599999999</v>
      </c>
      <c r="U20" s="43">
        <f>+N20-T20</f>
        <v>2742.1804339999999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2645.49</v>
      </c>
      <c r="L21" s="62"/>
      <c r="M21" s="43">
        <v>0</v>
      </c>
      <c r="N21" s="62">
        <f t="shared" si="0"/>
        <v>2645.49</v>
      </c>
      <c r="O21" s="62">
        <f t="shared" si="1"/>
        <v>264.54899999999998</v>
      </c>
      <c r="P21" s="62">
        <f t="shared" si="2"/>
        <v>45.237879</v>
      </c>
      <c r="Q21" s="62">
        <f t="shared" si="3"/>
        <v>13.227449999999999</v>
      </c>
      <c r="R21" s="62">
        <f t="shared" si="4"/>
        <v>13.227449999999999</v>
      </c>
      <c r="S21" s="43">
        <v>0</v>
      </c>
      <c r="T21" s="43">
        <f t="shared" si="5"/>
        <v>336.24177899999995</v>
      </c>
      <c r="U21" s="43">
        <f t="shared" si="6"/>
        <v>2309.2482209999998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2362</v>
      </c>
      <c r="L22" s="62"/>
      <c r="M22" s="43">
        <v>0</v>
      </c>
      <c r="N22" s="62">
        <f t="shared" si="0"/>
        <v>2362</v>
      </c>
      <c r="O22" s="62">
        <f t="shared" si="1"/>
        <v>236.20000000000002</v>
      </c>
      <c r="P22" s="62">
        <f t="shared" si="2"/>
        <v>40.3902</v>
      </c>
      <c r="Q22" s="62">
        <f t="shared" si="3"/>
        <v>11.81</v>
      </c>
      <c r="R22" s="62">
        <f t="shared" si="4"/>
        <v>11.81</v>
      </c>
      <c r="S22" s="43">
        <v>0</v>
      </c>
      <c r="T22" s="43">
        <f t="shared" si="5"/>
        <v>300.21020000000004</v>
      </c>
      <c r="U22" s="43">
        <f t="shared" si="6"/>
        <v>2061.7898</v>
      </c>
      <c r="V22" s="44"/>
      <c r="X22" s="45"/>
    </row>
    <row r="23" spans="1:24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3500</v>
      </c>
      <c r="L23" s="62"/>
      <c r="M23" s="43">
        <v>0</v>
      </c>
      <c r="N23" s="62">
        <f>K23+M23</f>
        <v>3500</v>
      </c>
      <c r="O23" s="62">
        <f>+N23*0.1</f>
        <v>350</v>
      </c>
      <c r="P23" s="62">
        <f>+N23*0.0171</f>
        <v>59.85</v>
      </c>
      <c r="Q23" s="62">
        <f>+N23*0.005</f>
        <v>17.5</v>
      </c>
      <c r="R23" s="62">
        <f>N23*0.5%</f>
        <v>17.5</v>
      </c>
      <c r="S23" s="43">
        <v>0</v>
      </c>
      <c r="T23" s="43">
        <f>+O23+P23+Q23+R23+S23</f>
        <v>444.85</v>
      </c>
      <c r="U23" s="43">
        <f>+N23-T23</f>
        <v>3055.15</v>
      </c>
      <c r="V23" s="44"/>
      <c r="X23" s="45"/>
    </row>
    <row r="24" spans="1:24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2430.75</v>
      </c>
      <c r="L24" s="62"/>
      <c r="M24" s="43">
        <v>0</v>
      </c>
      <c r="N24" s="62">
        <f t="shared" si="0"/>
        <v>2430.75</v>
      </c>
      <c r="O24" s="62">
        <f t="shared" si="1"/>
        <v>243.07500000000002</v>
      </c>
      <c r="P24" s="62">
        <f t="shared" si="2"/>
        <v>41.565825000000004</v>
      </c>
      <c r="Q24" s="62">
        <f t="shared" si="3"/>
        <v>12.15375</v>
      </c>
      <c r="R24" s="62">
        <f t="shared" si="4"/>
        <v>12.15375</v>
      </c>
      <c r="S24" s="43">
        <v>0</v>
      </c>
      <c r="T24" s="43">
        <f t="shared" si="5"/>
        <v>308.94832500000001</v>
      </c>
      <c r="U24" s="43">
        <f t="shared" si="6"/>
        <v>2121.8016750000002</v>
      </c>
      <c r="V24" s="44"/>
      <c r="X24" s="45"/>
    </row>
    <row r="25" spans="1:24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2362</v>
      </c>
      <c r="L25" s="62"/>
      <c r="M25" s="43">
        <v>0</v>
      </c>
      <c r="N25" s="62">
        <f t="shared" si="0"/>
        <v>2362</v>
      </c>
      <c r="O25" s="62">
        <f t="shared" si="1"/>
        <v>236.20000000000002</v>
      </c>
      <c r="P25" s="62">
        <f t="shared" si="2"/>
        <v>40.3902</v>
      </c>
      <c r="Q25" s="62">
        <f t="shared" si="3"/>
        <v>11.81</v>
      </c>
      <c r="R25" s="62">
        <f t="shared" si="4"/>
        <v>11.81</v>
      </c>
      <c r="S25" s="43">
        <v>0</v>
      </c>
      <c r="T25" s="43">
        <f t="shared" si="5"/>
        <v>300.21020000000004</v>
      </c>
      <c r="U25" s="43">
        <f t="shared" si="6"/>
        <v>2061.7898</v>
      </c>
      <c r="V25" s="44"/>
      <c r="X25" s="45"/>
    </row>
    <row r="26" spans="1:24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2362</v>
      </c>
      <c r="L26" s="62"/>
      <c r="M26" s="43">
        <v>0</v>
      </c>
      <c r="N26" s="62">
        <f t="shared" si="0"/>
        <v>2362</v>
      </c>
      <c r="O26" s="62">
        <f t="shared" si="1"/>
        <v>236.20000000000002</v>
      </c>
      <c r="P26" s="62">
        <f t="shared" si="2"/>
        <v>40.3902</v>
      </c>
      <c r="Q26" s="62">
        <f t="shared" si="3"/>
        <v>11.81</v>
      </c>
      <c r="R26" s="62">
        <f t="shared" si="4"/>
        <v>11.81</v>
      </c>
      <c r="S26" s="43">
        <v>0</v>
      </c>
      <c r="T26" s="43">
        <f t="shared" si="5"/>
        <v>300.21020000000004</v>
      </c>
      <c r="U26" s="43">
        <f t="shared" si="6"/>
        <v>2061.7898</v>
      </c>
      <c r="V26" s="44"/>
      <c r="X26" s="45"/>
    </row>
    <row r="27" spans="1:24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2410.81</v>
      </c>
      <c r="L27" s="62"/>
      <c r="M27" s="43">
        <v>0</v>
      </c>
      <c r="N27" s="62">
        <f t="shared" si="0"/>
        <v>2410.81</v>
      </c>
      <c r="O27" s="62">
        <f t="shared" si="1"/>
        <v>241.08100000000002</v>
      </c>
      <c r="P27" s="62">
        <f t="shared" si="2"/>
        <v>41.224851000000001</v>
      </c>
      <c r="Q27" s="62">
        <f t="shared" si="3"/>
        <v>12.05405</v>
      </c>
      <c r="R27" s="62">
        <f t="shared" si="4"/>
        <v>12.05405</v>
      </c>
      <c r="S27" s="43">
        <v>0</v>
      </c>
      <c r="T27" s="43">
        <f t="shared" si="5"/>
        <v>306.41395100000005</v>
      </c>
      <c r="U27" s="43">
        <f t="shared" si="6"/>
        <v>2104.3960489999999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2472</v>
      </c>
      <c r="L28" s="62"/>
      <c r="M28" s="43">
        <v>0</v>
      </c>
      <c r="N28" s="62">
        <f t="shared" si="0"/>
        <v>2472</v>
      </c>
      <c r="O28" s="62">
        <f t="shared" si="1"/>
        <v>247.20000000000002</v>
      </c>
      <c r="P28" s="62">
        <f t="shared" si="2"/>
        <v>42.2712</v>
      </c>
      <c r="Q28" s="62">
        <f t="shared" si="3"/>
        <v>12.36</v>
      </c>
      <c r="R28" s="62">
        <f t="shared" si="4"/>
        <v>12.36</v>
      </c>
      <c r="S28" s="43">
        <v>0</v>
      </c>
      <c r="T28" s="43">
        <f t="shared" si="5"/>
        <v>314.19120000000004</v>
      </c>
      <c r="U28" s="43">
        <f t="shared" si="6"/>
        <v>2157.8087999999998</v>
      </c>
      <c r="V28" s="44"/>
      <c r="X28" s="45"/>
    </row>
    <row r="29" spans="1:24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2472</v>
      </c>
      <c r="L29" s="62"/>
      <c r="M29" s="43">
        <v>0</v>
      </c>
      <c r="N29" s="62">
        <f>K29+M29</f>
        <v>2472</v>
      </c>
      <c r="O29" s="62">
        <f>+N29*0.1</f>
        <v>247.20000000000002</v>
      </c>
      <c r="P29" s="62">
        <f>+N29*0.0171</f>
        <v>42.2712</v>
      </c>
      <c r="Q29" s="62">
        <f>+N29*0.005</f>
        <v>12.36</v>
      </c>
      <c r="R29" s="62">
        <f>N29*0.5%</f>
        <v>12.36</v>
      </c>
      <c r="S29" s="43">
        <v>0</v>
      </c>
      <c r="T29" s="43">
        <f>+O29+P29+Q29+R29+S29</f>
        <v>314.19120000000004</v>
      </c>
      <c r="U29" s="43">
        <f>+N29-T29</f>
        <v>2157.8087999999998</v>
      </c>
      <c r="V29" s="44"/>
      <c r="X29" s="45"/>
    </row>
    <row r="30" spans="1:24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2538.73</v>
      </c>
      <c r="L30" s="62"/>
      <c r="M30" s="43">
        <v>0</v>
      </c>
      <c r="N30" s="62">
        <f t="shared" si="0"/>
        <v>2538.73</v>
      </c>
      <c r="O30" s="62">
        <f t="shared" si="1"/>
        <v>253.87300000000002</v>
      </c>
      <c r="P30" s="62">
        <f t="shared" si="2"/>
        <v>43.412283000000002</v>
      </c>
      <c r="Q30" s="62">
        <f t="shared" si="3"/>
        <v>12.69365</v>
      </c>
      <c r="R30" s="62">
        <f t="shared" si="4"/>
        <v>12.69365</v>
      </c>
      <c r="S30" s="43">
        <v>0</v>
      </c>
      <c r="T30" s="43">
        <f t="shared" si="5"/>
        <v>322.67258300000003</v>
      </c>
      <c r="U30" s="43">
        <f t="shared" si="6"/>
        <v>2216.057417</v>
      </c>
      <c r="V30" s="44"/>
      <c r="X30" s="45"/>
    </row>
    <row r="31" spans="1:24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2853.45</v>
      </c>
      <c r="L31" s="69"/>
      <c r="M31" s="43">
        <v>0</v>
      </c>
      <c r="N31" s="62">
        <f t="shared" si="0"/>
        <v>2853.45</v>
      </c>
      <c r="O31" s="62">
        <f t="shared" si="1"/>
        <v>285.34499999999997</v>
      </c>
      <c r="P31" s="62">
        <f t="shared" si="2"/>
        <v>48.793994999999995</v>
      </c>
      <c r="Q31" s="62">
        <f t="shared" si="3"/>
        <v>14.267249999999999</v>
      </c>
      <c r="R31" s="62">
        <f t="shared" si="4"/>
        <v>14.267249999999999</v>
      </c>
      <c r="S31" s="43">
        <v>0</v>
      </c>
      <c r="T31" s="43">
        <f t="shared" si="5"/>
        <v>362.67349499999995</v>
      </c>
      <c r="U31" s="43">
        <f t="shared" si="6"/>
        <v>2490.7765049999998</v>
      </c>
      <c r="V31" s="44"/>
      <c r="X31" s="45"/>
    </row>
    <row r="32" spans="1:24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2362</v>
      </c>
      <c r="L32" s="69"/>
      <c r="M32" s="43">
        <v>0</v>
      </c>
      <c r="N32" s="62">
        <f t="shared" si="0"/>
        <v>2362</v>
      </c>
      <c r="O32" s="62">
        <f t="shared" si="1"/>
        <v>236.20000000000002</v>
      </c>
      <c r="P32" s="62">
        <f t="shared" si="2"/>
        <v>40.3902</v>
      </c>
      <c r="Q32" s="62">
        <f t="shared" si="3"/>
        <v>11.81</v>
      </c>
      <c r="R32" s="62">
        <f t="shared" si="4"/>
        <v>11.81</v>
      </c>
      <c r="S32" s="43">
        <v>0</v>
      </c>
      <c r="T32" s="43">
        <f t="shared" si="5"/>
        <v>300.21020000000004</v>
      </c>
      <c r="U32" s="43">
        <f t="shared" si="6"/>
        <v>2061.7898</v>
      </c>
      <c r="V32" s="44"/>
      <c r="X32" s="45"/>
    </row>
    <row r="33" spans="1:26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2362</v>
      </c>
      <c r="L33" s="69"/>
      <c r="M33" s="43">
        <v>0</v>
      </c>
      <c r="N33" s="62">
        <f t="shared" si="0"/>
        <v>2362</v>
      </c>
      <c r="O33" s="62">
        <f t="shared" si="1"/>
        <v>236.20000000000002</v>
      </c>
      <c r="P33" s="62">
        <f t="shared" si="2"/>
        <v>40.3902</v>
      </c>
      <c r="Q33" s="62">
        <f t="shared" si="3"/>
        <v>11.81</v>
      </c>
      <c r="R33" s="62">
        <f t="shared" si="4"/>
        <v>11.81</v>
      </c>
      <c r="S33" s="43">
        <v>0</v>
      </c>
      <c r="T33" s="43">
        <f t="shared" si="5"/>
        <v>300.21020000000004</v>
      </c>
      <c r="U33" s="43">
        <f t="shared" si="6"/>
        <v>2061.7898</v>
      </c>
      <c r="V33" s="44"/>
      <c r="X33" s="45"/>
    </row>
    <row r="34" spans="1:26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62191.1</v>
      </c>
      <c r="L34" s="32"/>
      <c r="M34" s="32">
        <f t="shared" ref="M34" si="7">SUM(M13:M30)</f>
        <v>779.46</v>
      </c>
      <c r="N34" s="32">
        <f>SUM(N11:N33)</f>
        <v>62970.559999999998</v>
      </c>
      <c r="O34" s="32">
        <f>SUM(O11:O33)</f>
        <v>6297.0559999999987</v>
      </c>
      <c r="P34" s="32">
        <f>SUM(P11:P33)</f>
        <v>1076.7965760000002</v>
      </c>
      <c r="Q34" s="32">
        <f>SUM(Q11:Q33)</f>
        <v>314.8528</v>
      </c>
      <c r="R34" s="32">
        <f>SUM(R11:R33)</f>
        <v>314.8528</v>
      </c>
      <c r="S34" s="32">
        <f>SUM(S13:S33)</f>
        <v>0</v>
      </c>
      <c r="T34" s="32">
        <f>SUM(T11:T33)</f>
        <v>8003.5581760000032</v>
      </c>
      <c r="U34" s="32">
        <f>SUM(U11:U33)</f>
        <v>54967.001824000006</v>
      </c>
      <c r="V34" s="19"/>
    </row>
    <row r="35" spans="1:26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3">
        <f>SUM(T34:T34)</f>
        <v>8003.5581760000032</v>
      </c>
      <c r="U35" s="23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 s="46"/>
      <c r="O36"/>
      <c r="P36"/>
      <c r="Q36"/>
      <c r="R36"/>
      <c r="S36"/>
      <c r="T36"/>
      <c r="U36"/>
      <c r="V36"/>
      <c r="Y36"/>
      <c r="Z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 t="s">
        <v>218</v>
      </c>
      <c r="L38"/>
      <c r="M38"/>
      <c r="N38"/>
      <c r="O38"/>
      <c r="P38"/>
      <c r="Q38"/>
      <c r="R38"/>
      <c r="S38"/>
      <c r="T38"/>
      <c r="U38"/>
      <c r="V38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E38"/>
  <sheetViews>
    <sheetView topLeftCell="B5" workbookViewId="0">
      <selection activeCell="M18" sqref="M1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7.7109375" customWidth="1"/>
    <col min="9" max="9" width="6.85546875" hidden="1" customWidth="1"/>
    <col min="10" max="10" width="5.140625" customWidth="1"/>
    <col min="11" max="11" width="9.28515625" customWidth="1"/>
    <col min="12" max="12" width="11.140625" hidden="1" customWidth="1"/>
    <col min="13" max="16" width="11.140625" customWidth="1"/>
    <col min="17" max="17" width="7" customWidth="1"/>
    <col min="18" max="18" width="12.85546875" customWidth="1"/>
    <col min="19" max="19" width="10.140625" customWidth="1"/>
    <col min="20" max="20" width="8.42578125" customWidth="1"/>
    <col min="21" max="21" width="8" customWidth="1"/>
    <col min="22" max="22" width="7.28515625" customWidth="1"/>
    <col min="23" max="23" width="6.7109375" customWidth="1"/>
    <col min="24" max="24" width="6.140625" customWidth="1"/>
    <col min="25" max="25" width="9.7109375" customWidth="1"/>
    <col min="26" max="26" width="9.28515625" customWidth="1"/>
    <col min="27" max="27" width="20.5703125" customWidth="1"/>
    <col min="28" max="29" width="11.42578125" style="18" customWidth="1"/>
  </cols>
  <sheetData>
    <row r="1" spans="1:29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51"/>
      <c r="Z1" s="1"/>
      <c r="AA1" s="129" t="s">
        <v>33</v>
      </c>
      <c r="AB1" s="51"/>
    </row>
    <row r="2" spans="1:29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51"/>
      <c r="Z2" s="51"/>
      <c r="AA2" s="51"/>
      <c r="AB2" s="17"/>
    </row>
    <row r="3" spans="1:29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2"/>
      <c r="Z3" s="1"/>
      <c r="AA3" s="1"/>
      <c r="AB3" s="17"/>
    </row>
    <row r="4" spans="1:29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7"/>
      <c r="AC4" s="27"/>
    </row>
    <row r="5" spans="1:29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7"/>
      <c r="AC5" s="27"/>
    </row>
    <row r="6" spans="1:29" s="26" customFormat="1" ht="19.5" customHeight="1">
      <c r="A6" s="245" t="s">
        <v>217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7"/>
      <c r="AC6" s="27"/>
    </row>
    <row r="7" spans="1:29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6"/>
      <c r="R7" s="6"/>
      <c r="S7" s="6"/>
      <c r="T7" s="4"/>
      <c r="U7" s="4"/>
      <c r="V7" s="4"/>
      <c r="W7" s="4"/>
      <c r="X7" s="4"/>
      <c r="Y7" s="4"/>
      <c r="AB7" s="7">
        <v>42399</v>
      </c>
      <c r="AC7" s="8">
        <v>1656</v>
      </c>
    </row>
    <row r="8" spans="1:29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43"/>
      <c r="M8" s="145"/>
      <c r="N8" s="145"/>
      <c r="O8" s="145"/>
      <c r="P8" s="145"/>
      <c r="Q8" s="234" t="s">
        <v>11</v>
      </c>
      <c r="R8" s="147" t="s">
        <v>118</v>
      </c>
      <c r="S8" s="241" t="s">
        <v>126</v>
      </c>
      <c r="T8" s="231" t="s">
        <v>13</v>
      </c>
      <c r="U8" s="232"/>
      <c r="V8" s="232"/>
      <c r="W8" s="232"/>
      <c r="X8" s="233"/>
      <c r="Y8" s="234" t="s">
        <v>75</v>
      </c>
      <c r="Z8" s="234" t="s">
        <v>27</v>
      </c>
      <c r="AA8" s="234" t="s">
        <v>14</v>
      </c>
    </row>
    <row r="9" spans="1:29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42" t="s">
        <v>15</v>
      </c>
      <c r="K9" s="235"/>
      <c r="L9" s="144" t="s">
        <v>87</v>
      </c>
      <c r="M9" s="146" t="s">
        <v>219</v>
      </c>
      <c r="N9" s="146" t="s">
        <v>191</v>
      </c>
      <c r="O9" s="146" t="s">
        <v>116</v>
      </c>
      <c r="P9" s="146" t="s">
        <v>117</v>
      </c>
      <c r="Q9" s="235"/>
      <c r="R9" s="242" t="s">
        <v>193</v>
      </c>
      <c r="S9" s="235"/>
      <c r="T9" s="25" t="s">
        <v>26</v>
      </c>
      <c r="U9" s="24" t="s">
        <v>25</v>
      </c>
      <c r="V9" s="24" t="s">
        <v>23</v>
      </c>
      <c r="W9" s="24" t="s">
        <v>24</v>
      </c>
      <c r="X9" s="25" t="s">
        <v>16</v>
      </c>
      <c r="Y9" s="235"/>
      <c r="Z9" s="235"/>
      <c r="AA9" s="235"/>
    </row>
    <row r="10" spans="1:29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4"/>
      <c r="M10" s="146">
        <v>2024</v>
      </c>
      <c r="N10" s="146">
        <v>2024</v>
      </c>
      <c r="O10" s="146">
        <v>2024</v>
      </c>
      <c r="P10" s="146">
        <v>2024</v>
      </c>
      <c r="Q10" s="236"/>
      <c r="R10" s="243"/>
      <c r="S10" s="236"/>
      <c r="T10" s="11">
        <v>0.1</v>
      </c>
      <c r="U10" s="10">
        <v>1.7100000000000001E-2</v>
      </c>
      <c r="V10" s="12">
        <v>5.0000000000000001E-3</v>
      </c>
      <c r="W10" s="13">
        <v>5.0000000000000001E-3</v>
      </c>
      <c r="X10" s="11">
        <v>0.13</v>
      </c>
      <c r="Y10" s="236"/>
      <c r="Z10" s="236"/>
      <c r="AA10" s="236"/>
    </row>
    <row r="11" spans="1:29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62">
        <v>2512</v>
      </c>
      <c r="L11" s="60"/>
      <c r="M11" s="41"/>
      <c r="N11" s="41">
        <f t="shared" ref="N11:N18" si="0">K11*3%</f>
        <v>75.36</v>
      </c>
      <c r="O11" s="41">
        <f t="shared" ref="O11:O18" si="1">K11*3%</f>
        <v>75.36</v>
      </c>
      <c r="P11" s="41">
        <f t="shared" ref="P11:P18" si="2">K11*3%</f>
        <v>75.36</v>
      </c>
      <c r="Q11" s="43">
        <v>0</v>
      </c>
      <c r="R11" s="43"/>
      <c r="S11" s="62">
        <f t="shared" ref="S11:S19" si="3">M11+N11+O11+P11+R11</f>
        <v>226.07999999999998</v>
      </c>
      <c r="T11" s="62">
        <f t="shared" ref="T11:T33" si="4">+S11*0.1</f>
        <v>22.608000000000001</v>
      </c>
      <c r="U11" s="62">
        <f t="shared" ref="U11:U33" si="5">+S11*0.0171</f>
        <v>3.8659680000000001</v>
      </c>
      <c r="V11" s="62">
        <f t="shared" ref="V11:V33" si="6">+S11*0.005</f>
        <v>1.1303999999999998</v>
      </c>
      <c r="W11" s="62">
        <f t="shared" ref="W11:W33" si="7">S11*0.5%</f>
        <v>1.1303999999999998</v>
      </c>
      <c r="X11" s="43">
        <v>0</v>
      </c>
      <c r="Y11" s="43">
        <f t="shared" ref="Y11:Y33" si="8">+T11+U11+V11+W11+X11</f>
        <v>28.734768000000003</v>
      </c>
      <c r="Z11" s="43">
        <f t="shared" ref="Z11:Z33" si="9">+S11-Y11</f>
        <v>197.34523199999998</v>
      </c>
      <c r="AA11" s="55"/>
    </row>
    <row r="12" spans="1:29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2472</v>
      </c>
      <c r="L12" s="60"/>
      <c r="M12" s="41"/>
      <c r="N12" s="41">
        <f t="shared" si="0"/>
        <v>74.16</v>
      </c>
      <c r="O12" s="41">
        <f t="shared" si="1"/>
        <v>74.16</v>
      </c>
      <c r="P12" s="125">
        <f t="shared" si="2"/>
        <v>74.16</v>
      </c>
      <c r="Q12" s="43">
        <v>0</v>
      </c>
      <c r="R12" s="43"/>
      <c r="S12" s="62">
        <f t="shared" si="3"/>
        <v>222.48</v>
      </c>
      <c r="T12" s="62">
        <f t="shared" si="4"/>
        <v>22.248000000000001</v>
      </c>
      <c r="U12" s="62">
        <f t="shared" si="5"/>
        <v>3.804408</v>
      </c>
      <c r="V12" s="62">
        <f t="shared" si="6"/>
        <v>1.1124000000000001</v>
      </c>
      <c r="W12" s="62">
        <f t="shared" si="7"/>
        <v>1.1124000000000001</v>
      </c>
      <c r="X12" s="43">
        <v>0</v>
      </c>
      <c r="Y12" s="43">
        <f t="shared" si="8"/>
        <v>28.277208000000002</v>
      </c>
      <c r="Z12" s="43">
        <f t="shared" si="9"/>
        <v>194.20279199999999</v>
      </c>
      <c r="AA12" s="55"/>
    </row>
    <row r="13" spans="1:29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4184.88</v>
      </c>
      <c r="L13" s="62"/>
      <c r="M13" s="62"/>
      <c r="N13" s="125">
        <f t="shared" si="0"/>
        <v>125.54640000000001</v>
      </c>
      <c r="O13" s="125">
        <f t="shared" si="1"/>
        <v>125.54640000000001</v>
      </c>
      <c r="P13" s="125">
        <f t="shared" si="2"/>
        <v>125.54640000000001</v>
      </c>
      <c r="Q13" s="43">
        <v>0</v>
      </c>
      <c r="R13" s="43"/>
      <c r="S13" s="62">
        <f t="shared" si="3"/>
        <v>376.63920000000002</v>
      </c>
      <c r="T13" s="62">
        <f t="shared" si="4"/>
        <v>37.663920000000005</v>
      </c>
      <c r="U13" s="62">
        <f t="shared" si="5"/>
        <v>6.4405303200000006</v>
      </c>
      <c r="V13" s="62">
        <f t="shared" si="6"/>
        <v>1.8831960000000001</v>
      </c>
      <c r="W13" s="62">
        <f t="shared" si="7"/>
        <v>1.8831960000000001</v>
      </c>
      <c r="X13" s="43">
        <v>0</v>
      </c>
      <c r="Y13" s="43">
        <f t="shared" si="8"/>
        <v>47.870842320000001</v>
      </c>
      <c r="Z13" s="43">
        <f t="shared" si="9"/>
        <v>328.76835768000001</v>
      </c>
      <c r="AA13" s="44"/>
      <c r="AC13" s="45"/>
    </row>
    <row r="14" spans="1:29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4116.2700000000004</v>
      </c>
      <c r="L14" s="62"/>
      <c r="M14" s="62"/>
      <c r="N14" s="125">
        <f t="shared" si="0"/>
        <v>123.4881</v>
      </c>
      <c r="O14" s="125">
        <f t="shared" si="1"/>
        <v>123.4881</v>
      </c>
      <c r="P14" s="125">
        <f t="shared" si="2"/>
        <v>123.4881</v>
      </c>
      <c r="Q14" s="43">
        <v>0</v>
      </c>
      <c r="R14" s="43"/>
      <c r="S14" s="62">
        <f t="shared" si="3"/>
        <v>370.46429999999998</v>
      </c>
      <c r="T14" s="62">
        <f t="shared" si="4"/>
        <v>37.046430000000001</v>
      </c>
      <c r="U14" s="62">
        <f t="shared" si="5"/>
        <v>6.3349395299999998</v>
      </c>
      <c r="V14" s="62">
        <f t="shared" si="6"/>
        <v>1.8523215</v>
      </c>
      <c r="W14" s="62">
        <f t="shared" si="7"/>
        <v>1.8523215</v>
      </c>
      <c r="X14" s="43">
        <v>0</v>
      </c>
      <c r="Y14" s="43">
        <f t="shared" si="8"/>
        <v>47.086012530000005</v>
      </c>
      <c r="Z14" s="43">
        <f t="shared" si="9"/>
        <v>323.37828746999998</v>
      </c>
      <c r="AA14" s="44"/>
      <c r="AC14" s="45"/>
    </row>
    <row r="15" spans="1:29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2934.68</v>
      </c>
      <c r="L15" s="62"/>
      <c r="M15" s="62"/>
      <c r="N15" s="125">
        <f t="shared" si="0"/>
        <v>88.040399999999991</v>
      </c>
      <c r="O15" s="125">
        <f t="shared" si="1"/>
        <v>88.040399999999991</v>
      </c>
      <c r="P15" s="125">
        <f t="shared" si="2"/>
        <v>88.040399999999991</v>
      </c>
      <c r="Q15" s="43">
        <v>0</v>
      </c>
      <c r="R15" s="43"/>
      <c r="S15" s="62">
        <f t="shared" si="3"/>
        <v>264.12119999999999</v>
      </c>
      <c r="T15" s="62">
        <f t="shared" si="4"/>
        <v>26.412120000000002</v>
      </c>
      <c r="U15" s="62">
        <f t="shared" si="5"/>
        <v>4.5164725199999998</v>
      </c>
      <c r="V15" s="62">
        <f t="shared" si="6"/>
        <v>1.3206059999999999</v>
      </c>
      <c r="W15" s="62">
        <f t="shared" si="7"/>
        <v>1.3206059999999999</v>
      </c>
      <c r="X15" s="43">
        <v>0</v>
      </c>
      <c r="Y15" s="43">
        <f t="shared" si="8"/>
        <v>33.569804519999998</v>
      </c>
      <c r="Z15" s="43">
        <f t="shared" si="9"/>
        <v>230.55139548</v>
      </c>
      <c r="AA15" s="44"/>
      <c r="AC15" s="45"/>
    </row>
    <row r="16" spans="1:29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3067.04</v>
      </c>
      <c r="L16" s="62"/>
      <c r="M16" s="62"/>
      <c r="N16" s="125">
        <f t="shared" si="0"/>
        <v>92.011200000000002</v>
      </c>
      <c r="O16" s="125">
        <f t="shared" si="1"/>
        <v>92.011200000000002</v>
      </c>
      <c r="P16" s="125">
        <f t="shared" si="2"/>
        <v>92.011200000000002</v>
      </c>
      <c r="Q16" s="43">
        <v>0</v>
      </c>
      <c r="R16" s="43"/>
      <c r="S16" s="62">
        <f t="shared" si="3"/>
        <v>276.03359999999998</v>
      </c>
      <c r="T16" s="62">
        <f t="shared" si="4"/>
        <v>27.603359999999999</v>
      </c>
      <c r="U16" s="62">
        <f t="shared" si="5"/>
        <v>4.7201745600000002</v>
      </c>
      <c r="V16" s="62">
        <f t="shared" si="6"/>
        <v>1.3801679999999998</v>
      </c>
      <c r="W16" s="62">
        <f t="shared" si="7"/>
        <v>1.3801679999999998</v>
      </c>
      <c r="X16" s="43">
        <v>0</v>
      </c>
      <c r="Y16" s="43">
        <f t="shared" si="8"/>
        <v>35.083870559999994</v>
      </c>
      <c r="Z16" s="43">
        <f t="shared" si="9"/>
        <v>240.94972944</v>
      </c>
      <c r="AA16" s="44"/>
      <c r="AC16" s="45"/>
    </row>
    <row r="17" spans="1:29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2472</v>
      </c>
      <c r="L17" s="62"/>
      <c r="M17" s="62"/>
      <c r="N17" s="125">
        <f t="shared" si="0"/>
        <v>74.16</v>
      </c>
      <c r="O17" s="125">
        <f t="shared" si="1"/>
        <v>74.16</v>
      </c>
      <c r="P17" s="125">
        <f t="shared" si="2"/>
        <v>74.16</v>
      </c>
      <c r="Q17" s="43">
        <v>0</v>
      </c>
      <c r="R17" s="43"/>
      <c r="S17" s="62">
        <f t="shared" si="3"/>
        <v>222.48</v>
      </c>
      <c r="T17" s="62">
        <f t="shared" si="4"/>
        <v>22.248000000000001</v>
      </c>
      <c r="U17" s="62">
        <f t="shared" si="5"/>
        <v>3.804408</v>
      </c>
      <c r="V17" s="62">
        <f t="shared" si="6"/>
        <v>1.1124000000000001</v>
      </c>
      <c r="W17" s="62">
        <f t="shared" si="7"/>
        <v>1.1124000000000001</v>
      </c>
      <c r="X17" s="43">
        <v>0</v>
      </c>
      <c r="Y17" s="43">
        <f t="shared" si="8"/>
        <v>28.277208000000002</v>
      </c>
      <c r="Z17" s="43">
        <f t="shared" si="9"/>
        <v>194.20279199999999</v>
      </c>
      <c r="AA17" s="44"/>
      <c r="AC17" s="45"/>
    </row>
    <row r="18" spans="1:29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2575</v>
      </c>
      <c r="L18" s="62"/>
      <c r="M18" s="62"/>
      <c r="N18" s="125">
        <f t="shared" si="0"/>
        <v>77.25</v>
      </c>
      <c r="O18" s="125">
        <f t="shared" si="1"/>
        <v>77.25</v>
      </c>
      <c r="P18" s="125">
        <f t="shared" si="2"/>
        <v>77.25</v>
      </c>
      <c r="Q18" s="43">
        <v>0</v>
      </c>
      <c r="R18" s="43"/>
      <c r="S18" s="62">
        <f t="shared" si="3"/>
        <v>231.75</v>
      </c>
      <c r="T18" s="62">
        <f t="shared" si="4"/>
        <v>23.175000000000001</v>
      </c>
      <c r="U18" s="62">
        <f t="shared" si="5"/>
        <v>3.9629250000000003</v>
      </c>
      <c r="V18" s="62">
        <f t="shared" si="6"/>
        <v>1.1587499999999999</v>
      </c>
      <c r="W18" s="62">
        <f t="shared" si="7"/>
        <v>1.1587499999999999</v>
      </c>
      <c r="X18" s="43">
        <v>0</v>
      </c>
      <c r="Y18" s="43">
        <f t="shared" si="8"/>
        <v>29.455425000000005</v>
      </c>
      <c r="Z18" s="43">
        <f t="shared" si="9"/>
        <v>202.29457500000001</v>
      </c>
      <c r="AA18" s="44"/>
      <c r="AC18" s="45"/>
    </row>
    <row r="19" spans="1:29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2362</v>
      </c>
      <c r="L19" s="62"/>
      <c r="M19" s="62"/>
      <c r="N19" s="125">
        <v>138</v>
      </c>
      <c r="O19" s="125">
        <v>138</v>
      </c>
      <c r="P19" s="125">
        <v>138</v>
      </c>
      <c r="Q19" s="43">
        <v>0</v>
      </c>
      <c r="R19" s="43"/>
      <c r="S19" s="62">
        <f t="shared" si="3"/>
        <v>414</v>
      </c>
      <c r="T19" s="62">
        <f t="shared" si="4"/>
        <v>41.400000000000006</v>
      </c>
      <c r="U19" s="62">
        <f t="shared" si="5"/>
        <v>7.0794000000000006</v>
      </c>
      <c r="V19" s="62">
        <f t="shared" si="6"/>
        <v>2.0699999999999998</v>
      </c>
      <c r="W19" s="62">
        <f t="shared" si="7"/>
        <v>2.0699999999999998</v>
      </c>
      <c r="X19" s="43">
        <v>0</v>
      </c>
      <c r="Y19" s="43">
        <f t="shared" si="8"/>
        <v>52.619400000000006</v>
      </c>
      <c r="Z19" s="43">
        <f t="shared" si="9"/>
        <v>361.38060000000002</v>
      </c>
      <c r="AA19" s="44"/>
      <c r="AC19" s="45"/>
    </row>
    <row r="20" spans="1:29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2362</v>
      </c>
      <c r="L20" s="62"/>
      <c r="M20" s="62">
        <v>138</v>
      </c>
      <c r="N20" s="62">
        <v>138</v>
      </c>
      <c r="O20" s="62">
        <v>138</v>
      </c>
      <c r="P20" s="62">
        <v>138</v>
      </c>
      <c r="Q20" s="43">
        <v>779.46</v>
      </c>
      <c r="R20" s="43">
        <v>182.16</v>
      </c>
      <c r="S20" s="62">
        <f t="shared" ref="S20:S33" si="10">M20+N20+O20+P20+R20</f>
        <v>734.16</v>
      </c>
      <c r="T20" s="62">
        <f t="shared" si="4"/>
        <v>73.415999999999997</v>
      </c>
      <c r="U20" s="62">
        <f t="shared" si="5"/>
        <v>12.554136</v>
      </c>
      <c r="V20" s="62">
        <f t="shared" si="6"/>
        <v>3.6707999999999998</v>
      </c>
      <c r="W20" s="62">
        <f t="shared" si="7"/>
        <v>3.6707999999999998</v>
      </c>
      <c r="X20" s="43">
        <v>0</v>
      </c>
      <c r="Y20" s="43">
        <f t="shared" si="8"/>
        <v>93.311735999999996</v>
      </c>
      <c r="Z20" s="43">
        <f>+S20-Y20</f>
        <v>640.84826399999997</v>
      </c>
      <c r="AA20" s="44"/>
      <c r="AC20" s="108"/>
    </row>
    <row r="21" spans="1:29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2645.49</v>
      </c>
      <c r="L21" s="62"/>
      <c r="M21" s="62"/>
      <c r="N21" s="62">
        <f>K21*3%</f>
        <v>79.364699999999985</v>
      </c>
      <c r="O21" s="62">
        <f>K21*3%</f>
        <v>79.364699999999985</v>
      </c>
      <c r="P21" s="62">
        <f>K21*3%</f>
        <v>79.364699999999985</v>
      </c>
      <c r="Q21" s="43">
        <v>0</v>
      </c>
      <c r="R21" s="43"/>
      <c r="S21" s="62">
        <f t="shared" si="10"/>
        <v>238.09409999999997</v>
      </c>
      <c r="T21" s="62">
        <f t="shared" si="4"/>
        <v>23.80941</v>
      </c>
      <c r="U21" s="62">
        <f t="shared" si="5"/>
        <v>4.0714091099999994</v>
      </c>
      <c r="V21" s="62">
        <f t="shared" si="6"/>
        <v>1.1904704999999998</v>
      </c>
      <c r="W21" s="62">
        <f t="shared" si="7"/>
        <v>1.1904704999999998</v>
      </c>
      <c r="X21" s="43">
        <v>0</v>
      </c>
      <c r="Y21" s="43">
        <f t="shared" si="8"/>
        <v>30.261760109999997</v>
      </c>
      <c r="Z21" s="43">
        <f t="shared" si="9"/>
        <v>207.83233988999996</v>
      </c>
      <c r="AA21" s="44"/>
      <c r="AC21" s="45"/>
    </row>
    <row r="22" spans="1:29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2362</v>
      </c>
      <c r="L22" s="62"/>
      <c r="M22" s="62"/>
      <c r="N22" s="62">
        <v>138</v>
      </c>
      <c r="O22" s="62">
        <v>138</v>
      </c>
      <c r="P22" s="62">
        <v>138</v>
      </c>
      <c r="Q22" s="43">
        <v>0</v>
      </c>
      <c r="R22" s="43"/>
      <c r="S22" s="62">
        <f t="shared" si="10"/>
        <v>414</v>
      </c>
      <c r="T22" s="62">
        <f t="shared" si="4"/>
        <v>41.400000000000006</v>
      </c>
      <c r="U22" s="62">
        <f t="shared" si="5"/>
        <v>7.0794000000000006</v>
      </c>
      <c r="V22" s="62">
        <f t="shared" si="6"/>
        <v>2.0699999999999998</v>
      </c>
      <c r="W22" s="62">
        <f t="shared" si="7"/>
        <v>2.0699999999999998</v>
      </c>
      <c r="X22" s="43">
        <v>0</v>
      </c>
      <c r="Y22" s="43">
        <f t="shared" si="8"/>
        <v>52.619400000000006</v>
      </c>
      <c r="Z22" s="43">
        <f t="shared" si="9"/>
        <v>361.38060000000002</v>
      </c>
      <c r="AA22" s="44"/>
      <c r="AC22" s="45"/>
    </row>
    <row r="23" spans="1:29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3500</v>
      </c>
      <c r="L23" s="62"/>
      <c r="M23" s="62"/>
      <c r="N23" s="62">
        <f>K23*3%</f>
        <v>105</v>
      </c>
      <c r="O23" s="62">
        <f>K23*3%</f>
        <v>105</v>
      </c>
      <c r="P23" s="62">
        <f>K23*3%</f>
        <v>105</v>
      </c>
      <c r="Q23" s="43">
        <v>0</v>
      </c>
      <c r="R23" s="43"/>
      <c r="S23" s="62">
        <f t="shared" si="10"/>
        <v>315</v>
      </c>
      <c r="T23" s="62">
        <f>+S23*0.1</f>
        <v>31.5</v>
      </c>
      <c r="U23" s="62">
        <f>+S23*0.0171</f>
        <v>5.3864999999999998</v>
      </c>
      <c r="V23" s="62">
        <f>+S23*0.005</f>
        <v>1.575</v>
      </c>
      <c r="W23" s="62">
        <f>S23*0.5%</f>
        <v>1.575</v>
      </c>
      <c r="X23" s="43">
        <v>0</v>
      </c>
      <c r="Y23" s="43">
        <f>+T23+U23+V23+W23+X23</f>
        <v>40.036500000000004</v>
      </c>
      <c r="Z23" s="43">
        <f>+S23-Y23</f>
        <v>274.96350000000001</v>
      </c>
      <c r="AA23" s="44"/>
      <c r="AC23" s="45"/>
    </row>
    <row r="24" spans="1:29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2430.75</v>
      </c>
      <c r="L24" s="62"/>
      <c r="M24" s="62"/>
      <c r="N24" s="62">
        <f>K24*3%</f>
        <v>72.922499999999999</v>
      </c>
      <c r="O24" s="62">
        <f>K24*3%</f>
        <v>72.922499999999999</v>
      </c>
      <c r="P24" s="62">
        <f>K24*3%</f>
        <v>72.922499999999999</v>
      </c>
      <c r="Q24" s="43">
        <v>0</v>
      </c>
      <c r="R24" s="43"/>
      <c r="S24" s="62">
        <f t="shared" si="10"/>
        <v>218.76749999999998</v>
      </c>
      <c r="T24" s="62">
        <f t="shared" si="4"/>
        <v>21.876750000000001</v>
      </c>
      <c r="U24" s="62">
        <f t="shared" si="5"/>
        <v>3.74092425</v>
      </c>
      <c r="V24" s="62">
        <f t="shared" si="6"/>
        <v>1.0938375</v>
      </c>
      <c r="W24" s="62">
        <f t="shared" si="7"/>
        <v>1.0938375</v>
      </c>
      <c r="X24" s="43">
        <v>0</v>
      </c>
      <c r="Y24" s="43">
        <f t="shared" si="8"/>
        <v>27.805349249999999</v>
      </c>
      <c r="Z24" s="43">
        <f t="shared" si="9"/>
        <v>190.96215074999998</v>
      </c>
      <c r="AA24" s="44"/>
      <c r="AC24" s="45"/>
    </row>
    <row r="25" spans="1:29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2362</v>
      </c>
      <c r="L25" s="62"/>
      <c r="M25" s="62"/>
      <c r="N25" s="62">
        <v>138</v>
      </c>
      <c r="O25" s="62">
        <v>138</v>
      </c>
      <c r="P25" s="62">
        <v>138</v>
      </c>
      <c r="Q25" s="43">
        <v>0</v>
      </c>
      <c r="R25" s="43"/>
      <c r="S25" s="62">
        <f t="shared" si="10"/>
        <v>414</v>
      </c>
      <c r="T25" s="62">
        <f t="shared" si="4"/>
        <v>41.400000000000006</v>
      </c>
      <c r="U25" s="62">
        <f t="shared" si="5"/>
        <v>7.0794000000000006</v>
      </c>
      <c r="V25" s="62">
        <f t="shared" si="6"/>
        <v>2.0699999999999998</v>
      </c>
      <c r="W25" s="62">
        <f t="shared" si="7"/>
        <v>2.0699999999999998</v>
      </c>
      <c r="X25" s="43">
        <v>0</v>
      </c>
      <c r="Y25" s="43">
        <f t="shared" si="8"/>
        <v>52.619400000000006</v>
      </c>
      <c r="Z25" s="43">
        <f t="shared" si="9"/>
        <v>361.38060000000002</v>
      </c>
      <c r="AA25" s="44"/>
      <c r="AC25" s="45"/>
    </row>
    <row r="26" spans="1:29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2362</v>
      </c>
      <c r="L26" s="62"/>
      <c r="M26" s="62"/>
      <c r="N26" s="62">
        <v>138</v>
      </c>
      <c r="O26" s="62">
        <v>138</v>
      </c>
      <c r="P26" s="62">
        <v>138</v>
      </c>
      <c r="Q26" s="43">
        <v>0</v>
      </c>
      <c r="R26" s="43"/>
      <c r="S26" s="62">
        <f t="shared" si="10"/>
        <v>414</v>
      </c>
      <c r="T26" s="62">
        <f t="shared" si="4"/>
        <v>41.400000000000006</v>
      </c>
      <c r="U26" s="62">
        <f t="shared" si="5"/>
        <v>7.0794000000000006</v>
      </c>
      <c r="V26" s="62">
        <f t="shared" si="6"/>
        <v>2.0699999999999998</v>
      </c>
      <c r="W26" s="62">
        <f t="shared" si="7"/>
        <v>2.0699999999999998</v>
      </c>
      <c r="X26" s="43">
        <v>0</v>
      </c>
      <c r="Y26" s="43">
        <f t="shared" si="8"/>
        <v>52.619400000000006</v>
      </c>
      <c r="Z26" s="43">
        <f t="shared" si="9"/>
        <v>361.38060000000002</v>
      </c>
      <c r="AA26" s="44"/>
      <c r="AC26" s="45"/>
    </row>
    <row r="27" spans="1:29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2410.81</v>
      </c>
      <c r="L27" s="62"/>
      <c r="M27" s="62"/>
      <c r="N27" s="62">
        <v>89.19</v>
      </c>
      <c r="O27" s="62">
        <v>89.19</v>
      </c>
      <c r="P27" s="62">
        <v>89.19</v>
      </c>
      <c r="Q27" s="43">
        <v>0</v>
      </c>
      <c r="R27" s="43"/>
      <c r="S27" s="62">
        <f t="shared" si="10"/>
        <v>267.57</v>
      </c>
      <c r="T27" s="62">
        <f t="shared" si="4"/>
        <v>26.757000000000001</v>
      </c>
      <c r="U27" s="62">
        <f t="shared" si="5"/>
        <v>4.5754470000000005</v>
      </c>
      <c r="V27" s="62">
        <f t="shared" si="6"/>
        <v>1.33785</v>
      </c>
      <c r="W27" s="62">
        <f t="shared" si="7"/>
        <v>1.33785</v>
      </c>
      <c r="X27" s="43">
        <v>0</v>
      </c>
      <c r="Y27" s="43">
        <f t="shared" si="8"/>
        <v>34.008147000000008</v>
      </c>
      <c r="Z27" s="43">
        <f t="shared" si="9"/>
        <v>233.56185299999999</v>
      </c>
      <c r="AA27" s="44"/>
      <c r="AC27" s="45"/>
    </row>
    <row r="28" spans="1:29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2472</v>
      </c>
      <c r="L28" s="62"/>
      <c r="M28" s="62"/>
      <c r="N28" s="62">
        <f>K28*3%</f>
        <v>74.16</v>
      </c>
      <c r="O28" s="62">
        <f>K28*3%</f>
        <v>74.16</v>
      </c>
      <c r="P28" s="62">
        <f>K28*3%</f>
        <v>74.16</v>
      </c>
      <c r="Q28" s="43">
        <v>0</v>
      </c>
      <c r="R28" s="43"/>
      <c r="S28" s="62">
        <f t="shared" si="10"/>
        <v>222.48</v>
      </c>
      <c r="T28" s="62">
        <f t="shared" si="4"/>
        <v>22.248000000000001</v>
      </c>
      <c r="U28" s="62">
        <f t="shared" si="5"/>
        <v>3.804408</v>
      </c>
      <c r="V28" s="62">
        <f t="shared" si="6"/>
        <v>1.1124000000000001</v>
      </c>
      <c r="W28" s="62">
        <f t="shared" si="7"/>
        <v>1.1124000000000001</v>
      </c>
      <c r="X28" s="43">
        <v>0</v>
      </c>
      <c r="Y28" s="43">
        <f t="shared" si="8"/>
        <v>28.277208000000002</v>
      </c>
      <c r="Z28" s="43">
        <f t="shared" si="9"/>
        <v>194.20279199999999</v>
      </c>
      <c r="AA28" s="44"/>
      <c r="AC28" s="45"/>
    </row>
    <row r="29" spans="1:29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2472</v>
      </c>
      <c r="L29" s="62"/>
      <c r="M29" s="62"/>
      <c r="N29" s="62">
        <f>K29*3%</f>
        <v>74.16</v>
      </c>
      <c r="O29" s="62">
        <f>K29*3%</f>
        <v>74.16</v>
      </c>
      <c r="P29" s="62">
        <f>K29*3%</f>
        <v>74.16</v>
      </c>
      <c r="Q29" s="43">
        <v>0</v>
      </c>
      <c r="R29" s="43"/>
      <c r="S29" s="62">
        <f t="shared" si="10"/>
        <v>222.48</v>
      </c>
      <c r="T29" s="62">
        <f>+S29*0.1</f>
        <v>22.248000000000001</v>
      </c>
      <c r="U29" s="62">
        <f>+S29*0.0171</f>
        <v>3.804408</v>
      </c>
      <c r="V29" s="62">
        <f>+S29*0.005</f>
        <v>1.1124000000000001</v>
      </c>
      <c r="W29" s="62">
        <f>S29*0.5%</f>
        <v>1.1124000000000001</v>
      </c>
      <c r="X29" s="43">
        <v>0</v>
      </c>
      <c r="Y29" s="43">
        <f>+T29+U29+V29+W29+X29</f>
        <v>28.277208000000002</v>
      </c>
      <c r="Z29" s="43">
        <f>+S29-Y29</f>
        <v>194.20279199999999</v>
      </c>
      <c r="AA29" s="44"/>
      <c r="AC29" s="45"/>
    </row>
    <row r="30" spans="1:29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2538.73</v>
      </c>
      <c r="L30" s="62"/>
      <c r="M30" s="62"/>
      <c r="N30" s="62">
        <f>K30*3%</f>
        <v>76.161900000000003</v>
      </c>
      <c r="O30" s="62">
        <f>K30*3%</f>
        <v>76.161900000000003</v>
      </c>
      <c r="P30" s="62">
        <f>K30*3%</f>
        <v>76.161900000000003</v>
      </c>
      <c r="Q30" s="43">
        <v>0</v>
      </c>
      <c r="R30" s="43"/>
      <c r="S30" s="62">
        <f t="shared" si="10"/>
        <v>228.48570000000001</v>
      </c>
      <c r="T30" s="62">
        <f t="shared" si="4"/>
        <v>22.848570000000002</v>
      </c>
      <c r="U30" s="62">
        <f t="shared" si="5"/>
        <v>3.9071054700000003</v>
      </c>
      <c r="V30" s="62">
        <f t="shared" si="6"/>
        <v>1.1424285000000001</v>
      </c>
      <c r="W30" s="62">
        <f t="shared" si="7"/>
        <v>1.1424285000000001</v>
      </c>
      <c r="X30" s="43">
        <v>0</v>
      </c>
      <c r="Y30" s="43">
        <f t="shared" si="8"/>
        <v>29.040532470000006</v>
      </c>
      <c r="Z30" s="43">
        <f t="shared" si="9"/>
        <v>199.44516752999999</v>
      </c>
      <c r="AA30" s="44"/>
      <c r="AC30" s="45"/>
    </row>
    <row r="31" spans="1:29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2853.45</v>
      </c>
      <c r="L31" s="69"/>
      <c r="M31" s="69"/>
      <c r="N31" s="62">
        <f>K31*3%</f>
        <v>85.603499999999997</v>
      </c>
      <c r="O31" s="62">
        <f>K31*3%</f>
        <v>85.603499999999997</v>
      </c>
      <c r="P31" s="62">
        <f>K31*3%</f>
        <v>85.603499999999997</v>
      </c>
      <c r="Q31" s="43">
        <v>0</v>
      </c>
      <c r="R31" s="43"/>
      <c r="S31" s="62">
        <f t="shared" si="10"/>
        <v>256.81049999999999</v>
      </c>
      <c r="T31" s="62">
        <f t="shared" si="4"/>
        <v>25.681049999999999</v>
      </c>
      <c r="U31" s="62">
        <f t="shared" si="5"/>
        <v>4.3914595500000004</v>
      </c>
      <c r="V31" s="62">
        <f t="shared" si="6"/>
        <v>1.2840525</v>
      </c>
      <c r="W31" s="62">
        <f t="shared" si="7"/>
        <v>1.2840525</v>
      </c>
      <c r="X31" s="43">
        <v>0</v>
      </c>
      <c r="Y31" s="43">
        <f t="shared" si="8"/>
        <v>32.640614550000002</v>
      </c>
      <c r="Z31" s="43">
        <f t="shared" si="9"/>
        <v>224.16988544999998</v>
      </c>
      <c r="AA31" s="44"/>
      <c r="AC31" s="45"/>
    </row>
    <row r="32" spans="1:29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2362</v>
      </c>
      <c r="L32" s="69"/>
      <c r="M32" s="69"/>
      <c r="N32" s="69">
        <v>138</v>
      </c>
      <c r="O32" s="69">
        <v>138</v>
      </c>
      <c r="P32" s="69">
        <v>138</v>
      </c>
      <c r="Q32" s="43">
        <v>0</v>
      </c>
      <c r="R32" s="43"/>
      <c r="S32" s="62">
        <f t="shared" si="10"/>
        <v>414</v>
      </c>
      <c r="T32" s="62">
        <f t="shared" si="4"/>
        <v>41.400000000000006</v>
      </c>
      <c r="U32" s="62">
        <f t="shared" si="5"/>
        <v>7.0794000000000006</v>
      </c>
      <c r="V32" s="62">
        <f t="shared" si="6"/>
        <v>2.0699999999999998</v>
      </c>
      <c r="W32" s="62">
        <f t="shared" si="7"/>
        <v>2.0699999999999998</v>
      </c>
      <c r="X32" s="43">
        <v>0</v>
      </c>
      <c r="Y32" s="43">
        <f t="shared" si="8"/>
        <v>52.619400000000006</v>
      </c>
      <c r="Z32" s="43">
        <f t="shared" si="9"/>
        <v>361.38060000000002</v>
      </c>
      <c r="AA32" s="44"/>
      <c r="AC32" s="45"/>
    </row>
    <row r="33" spans="1:31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2362</v>
      </c>
      <c r="L33" s="69"/>
      <c r="M33" s="69">
        <f>SUM(M11:M32)</f>
        <v>138</v>
      </c>
      <c r="N33" s="69">
        <v>138</v>
      </c>
      <c r="O33" s="69">
        <v>138</v>
      </c>
      <c r="P33" s="69">
        <v>138</v>
      </c>
      <c r="Q33" s="43">
        <v>0</v>
      </c>
      <c r="R33" s="43"/>
      <c r="S33" s="62">
        <f t="shared" si="10"/>
        <v>552</v>
      </c>
      <c r="T33" s="62">
        <f t="shared" si="4"/>
        <v>55.2</v>
      </c>
      <c r="U33" s="62">
        <f t="shared" si="5"/>
        <v>9.4391999999999996</v>
      </c>
      <c r="V33" s="62">
        <f t="shared" si="6"/>
        <v>2.7600000000000002</v>
      </c>
      <c r="W33" s="62">
        <f t="shared" si="7"/>
        <v>2.7600000000000002</v>
      </c>
      <c r="X33" s="43">
        <v>0</v>
      </c>
      <c r="Y33" s="43">
        <f t="shared" si="8"/>
        <v>70.159200000000013</v>
      </c>
      <c r="Z33" s="43">
        <f t="shared" si="9"/>
        <v>481.8408</v>
      </c>
      <c r="AA33" s="44"/>
      <c r="AC33" s="45"/>
    </row>
    <row r="34" spans="1:31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62191.1</v>
      </c>
      <c r="L34" s="32"/>
      <c r="M34" s="32"/>
      <c r="N34" s="32">
        <f>SUM(N11:N33)</f>
        <v>2352.5787</v>
      </c>
      <c r="O34" s="32">
        <f>SUM(O11:O33)</f>
        <v>2352.5787</v>
      </c>
      <c r="P34" s="32">
        <f>SUM(P11:P33)</f>
        <v>2352.5787</v>
      </c>
      <c r="Q34" s="32">
        <f t="shared" ref="Q34" si="11">SUM(Q13:Q30)</f>
        <v>779.46</v>
      </c>
      <c r="R34" s="32">
        <f t="shared" ref="R34:W34" si="12">SUM(R11:R33)</f>
        <v>182.16</v>
      </c>
      <c r="S34" s="32">
        <f t="shared" si="12"/>
        <v>7515.896099999999</v>
      </c>
      <c r="T34" s="32">
        <f t="shared" si="12"/>
        <v>751.58961000000011</v>
      </c>
      <c r="U34" s="32">
        <f t="shared" si="12"/>
        <v>128.52182331</v>
      </c>
      <c r="V34" s="32">
        <f t="shared" si="12"/>
        <v>37.579480499999995</v>
      </c>
      <c r="W34" s="32">
        <f t="shared" si="12"/>
        <v>37.579480499999995</v>
      </c>
      <c r="X34" s="32">
        <f>SUM(X13:X33)</f>
        <v>0</v>
      </c>
      <c r="Y34" s="32">
        <f>SUM(Y11:Y33)</f>
        <v>955.27039431000014</v>
      </c>
      <c r="Z34" s="32">
        <f>SUM(Z11:Z33)</f>
        <v>6560.6257056900013</v>
      </c>
      <c r="AA34" s="19"/>
    </row>
    <row r="35" spans="1:31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s="23">
        <f>SUM(Y34:Y34)</f>
        <v>955.27039431000014</v>
      </c>
      <c r="Z35" s="23"/>
    </row>
    <row r="36" spans="1:31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 s="46"/>
      <c r="T36"/>
      <c r="U36"/>
      <c r="V36"/>
      <c r="W36"/>
      <c r="X36"/>
      <c r="Y36"/>
      <c r="Z36"/>
      <c r="AA36"/>
      <c r="AD36"/>
      <c r="AE36"/>
    </row>
    <row r="37" spans="1:31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1:31" s="18" customFormat="1">
      <c r="A38"/>
      <c r="B38"/>
      <c r="C38"/>
      <c r="D38"/>
      <c r="E38" s="9"/>
      <c r="F38"/>
      <c r="G38"/>
      <c r="H38"/>
      <c r="I38"/>
      <c r="J38"/>
      <c r="K38" t="s">
        <v>218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</sheetData>
  <mergeCells count="18">
    <mergeCell ref="AA8:AA10"/>
    <mergeCell ref="K8:K10"/>
    <mergeCell ref="Q8:Q10"/>
    <mergeCell ref="T8:X8"/>
    <mergeCell ref="Y8:Y10"/>
    <mergeCell ref="Z8:Z10"/>
    <mergeCell ref="A4:AA4"/>
    <mergeCell ref="A5:AA5"/>
    <mergeCell ref="A6:AA6"/>
    <mergeCell ref="A8:A10"/>
    <mergeCell ref="B8:B10"/>
    <mergeCell ref="C8:C10"/>
    <mergeCell ref="D8:D10"/>
    <mergeCell ref="E8:E10"/>
    <mergeCell ref="F8:F10"/>
    <mergeCell ref="G8:G10"/>
    <mergeCell ref="R9:R10"/>
    <mergeCell ref="S8:S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Z38"/>
  <sheetViews>
    <sheetView workbookViewId="0">
      <selection activeCell="K19" sqref="K19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220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43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42" t="s">
        <v>15</v>
      </c>
      <c r="K9" s="235"/>
      <c r="L9" s="144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4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1">
        <v>2587.36</v>
      </c>
      <c r="L11" s="60"/>
      <c r="M11" s="43">
        <v>0</v>
      </c>
      <c r="N11" s="62">
        <f t="shared" ref="N11:N33" si="0">K11+M11</f>
        <v>2587.36</v>
      </c>
      <c r="O11" s="62">
        <f t="shared" ref="O11:O33" si="1">+N11*0.1</f>
        <v>258.73600000000005</v>
      </c>
      <c r="P11" s="62">
        <f t="shared" ref="P11:P33" si="2">+N11*0.0171</f>
        <v>44.243856000000001</v>
      </c>
      <c r="Q11" s="62">
        <f t="shared" ref="Q11:Q33" si="3">+N11*0.005</f>
        <v>12.936800000000002</v>
      </c>
      <c r="R11" s="62">
        <f t="shared" ref="R11:R33" si="4">N11*0.5%</f>
        <v>12.936800000000002</v>
      </c>
      <c r="S11" s="43">
        <v>0</v>
      </c>
      <c r="T11" s="43">
        <f t="shared" ref="T11:T33" si="5">+O11+P11+Q11+R11+S11</f>
        <v>328.85345600000005</v>
      </c>
      <c r="U11" s="43">
        <f t="shared" ref="U11:U33" si="6">+N11-T11</f>
        <v>2258.5065439999998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2546.16</v>
      </c>
      <c r="L12" s="60"/>
      <c r="M12" s="43">
        <v>0</v>
      </c>
      <c r="N12" s="62">
        <f t="shared" si="0"/>
        <v>2546.16</v>
      </c>
      <c r="O12" s="62">
        <f t="shared" si="1"/>
        <v>254.61599999999999</v>
      </c>
      <c r="P12" s="62">
        <f t="shared" si="2"/>
        <v>43.539335999999999</v>
      </c>
      <c r="Q12" s="62">
        <f t="shared" si="3"/>
        <v>12.7308</v>
      </c>
      <c r="R12" s="62">
        <f t="shared" si="4"/>
        <v>12.7308</v>
      </c>
      <c r="S12" s="43">
        <v>0</v>
      </c>
      <c r="T12" s="43">
        <f t="shared" si="5"/>
        <v>323.61693599999995</v>
      </c>
      <c r="U12" s="43">
        <f t="shared" si="6"/>
        <v>2222.543064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4310.43</v>
      </c>
      <c r="L13" s="62"/>
      <c r="M13" s="43">
        <v>0</v>
      </c>
      <c r="N13" s="62">
        <f t="shared" si="0"/>
        <v>4310.43</v>
      </c>
      <c r="O13" s="62">
        <f t="shared" si="1"/>
        <v>431.04300000000006</v>
      </c>
      <c r="P13" s="62">
        <f t="shared" si="2"/>
        <v>73.708353000000002</v>
      </c>
      <c r="Q13" s="62">
        <f t="shared" si="3"/>
        <v>21.552150000000001</v>
      </c>
      <c r="R13" s="62">
        <f t="shared" si="4"/>
        <v>21.552150000000001</v>
      </c>
      <c r="S13" s="43">
        <v>0</v>
      </c>
      <c r="T13" s="43">
        <f t="shared" si="5"/>
        <v>547.85565300000007</v>
      </c>
      <c r="U13" s="43">
        <f t="shared" si="6"/>
        <v>3762.5743470000002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4239.76</v>
      </c>
      <c r="L14" s="62"/>
      <c r="M14" s="43">
        <v>0</v>
      </c>
      <c r="N14" s="62">
        <f t="shared" si="0"/>
        <v>4239.76</v>
      </c>
      <c r="O14" s="62">
        <f t="shared" si="1"/>
        <v>423.97600000000006</v>
      </c>
      <c r="P14" s="62">
        <f t="shared" si="2"/>
        <v>72.499896000000007</v>
      </c>
      <c r="Q14" s="62">
        <f t="shared" si="3"/>
        <v>21.198800000000002</v>
      </c>
      <c r="R14" s="62">
        <f t="shared" si="4"/>
        <v>21.198800000000002</v>
      </c>
      <c r="S14" s="43">
        <v>0</v>
      </c>
      <c r="T14" s="43">
        <f t="shared" si="5"/>
        <v>538.87349600000005</v>
      </c>
      <c r="U14" s="43">
        <f t="shared" si="6"/>
        <v>3700.8865040000001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3022.72</v>
      </c>
      <c r="L15" s="62"/>
      <c r="M15" s="43">
        <v>0</v>
      </c>
      <c r="N15" s="62">
        <f t="shared" si="0"/>
        <v>3022.72</v>
      </c>
      <c r="O15" s="62">
        <f t="shared" si="1"/>
        <v>302.27199999999999</v>
      </c>
      <c r="P15" s="62">
        <f t="shared" si="2"/>
        <v>51.688511999999996</v>
      </c>
      <c r="Q15" s="62">
        <f t="shared" si="3"/>
        <v>15.1136</v>
      </c>
      <c r="R15" s="62">
        <f t="shared" si="4"/>
        <v>15.1136</v>
      </c>
      <c r="S15" s="43">
        <v>0</v>
      </c>
      <c r="T15" s="43">
        <f t="shared" si="5"/>
        <v>384.18771200000003</v>
      </c>
      <c r="U15" s="43">
        <f t="shared" si="6"/>
        <v>2638.5322879999999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3159.05</v>
      </c>
      <c r="L16" s="62"/>
      <c r="M16" s="43">
        <v>0</v>
      </c>
      <c r="N16" s="62">
        <f t="shared" si="0"/>
        <v>3159.05</v>
      </c>
      <c r="O16" s="62">
        <f t="shared" si="1"/>
        <v>315.90500000000003</v>
      </c>
      <c r="P16" s="62">
        <f t="shared" si="2"/>
        <v>54.019755000000004</v>
      </c>
      <c r="Q16" s="62">
        <f t="shared" si="3"/>
        <v>15.795250000000001</v>
      </c>
      <c r="R16" s="62">
        <f t="shared" si="4"/>
        <v>15.795250000000001</v>
      </c>
      <c r="S16" s="43">
        <v>0</v>
      </c>
      <c r="T16" s="43">
        <f t="shared" si="5"/>
        <v>401.51525500000002</v>
      </c>
      <c r="U16" s="43">
        <f t="shared" si="6"/>
        <v>2757.5347449999999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2546.16</v>
      </c>
      <c r="L17" s="62"/>
      <c r="M17" s="43">
        <v>0</v>
      </c>
      <c r="N17" s="62">
        <f t="shared" si="0"/>
        <v>2546.16</v>
      </c>
      <c r="O17" s="62">
        <f t="shared" si="1"/>
        <v>254.61599999999999</v>
      </c>
      <c r="P17" s="62">
        <f t="shared" si="2"/>
        <v>43.539335999999999</v>
      </c>
      <c r="Q17" s="62">
        <f t="shared" si="3"/>
        <v>12.7308</v>
      </c>
      <c r="R17" s="62">
        <f t="shared" si="4"/>
        <v>12.7308</v>
      </c>
      <c r="S17" s="43">
        <v>0</v>
      </c>
      <c r="T17" s="43">
        <f t="shared" si="5"/>
        <v>323.61693599999995</v>
      </c>
      <c r="U17" s="43">
        <f t="shared" si="6"/>
        <v>2222.543064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2652.25</v>
      </c>
      <c r="L18" s="62"/>
      <c r="M18" s="43">
        <v>0</v>
      </c>
      <c r="N18" s="62">
        <f t="shared" si="0"/>
        <v>2652.25</v>
      </c>
      <c r="O18" s="62">
        <f t="shared" si="1"/>
        <v>265.22500000000002</v>
      </c>
      <c r="P18" s="62">
        <f t="shared" si="2"/>
        <v>45.353475000000003</v>
      </c>
      <c r="Q18" s="62">
        <f t="shared" si="3"/>
        <v>13.26125</v>
      </c>
      <c r="R18" s="62">
        <f t="shared" si="4"/>
        <v>13.26125</v>
      </c>
      <c r="S18" s="43">
        <v>0</v>
      </c>
      <c r="T18" s="43">
        <f t="shared" si="5"/>
        <v>337.10097500000006</v>
      </c>
      <c r="U18" s="43">
        <f t="shared" si="6"/>
        <v>2315.1490249999997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2500</v>
      </c>
      <c r="L19" s="62"/>
      <c r="M19" s="43">
        <v>0</v>
      </c>
      <c r="N19" s="62">
        <f t="shared" si="0"/>
        <v>2500</v>
      </c>
      <c r="O19" s="62">
        <f t="shared" si="1"/>
        <v>250</v>
      </c>
      <c r="P19" s="62">
        <f t="shared" si="2"/>
        <v>42.75</v>
      </c>
      <c r="Q19" s="62">
        <f t="shared" si="3"/>
        <v>12.5</v>
      </c>
      <c r="R19" s="62">
        <f t="shared" si="4"/>
        <v>12.5</v>
      </c>
      <c r="S19" s="43">
        <v>0</v>
      </c>
      <c r="T19" s="43">
        <f t="shared" si="5"/>
        <v>317.75</v>
      </c>
      <c r="U19" s="43">
        <f t="shared" si="6"/>
        <v>2182.25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2500</v>
      </c>
      <c r="L20" s="62"/>
      <c r="M20" s="43">
        <v>825</v>
      </c>
      <c r="N20" s="62">
        <f t="shared" si="0"/>
        <v>3325</v>
      </c>
      <c r="O20" s="62">
        <f t="shared" si="1"/>
        <v>332.5</v>
      </c>
      <c r="P20" s="62">
        <f t="shared" si="2"/>
        <v>56.857500000000002</v>
      </c>
      <c r="Q20" s="62">
        <f t="shared" si="3"/>
        <v>16.625</v>
      </c>
      <c r="R20" s="62">
        <f t="shared" si="4"/>
        <v>16.625</v>
      </c>
      <c r="S20" s="43">
        <v>0</v>
      </c>
      <c r="T20" s="43">
        <f t="shared" si="5"/>
        <v>422.60750000000002</v>
      </c>
      <c r="U20" s="43">
        <f>+N20-T20</f>
        <v>2902.3924999999999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2724.85</v>
      </c>
      <c r="L21" s="62"/>
      <c r="M21" s="43">
        <v>0</v>
      </c>
      <c r="N21" s="62">
        <f t="shared" si="0"/>
        <v>2724.85</v>
      </c>
      <c r="O21" s="62">
        <f t="shared" si="1"/>
        <v>272.48500000000001</v>
      </c>
      <c r="P21" s="62">
        <f t="shared" si="2"/>
        <v>46.594935</v>
      </c>
      <c r="Q21" s="62">
        <f t="shared" si="3"/>
        <v>13.62425</v>
      </c>
      <c r="R21" s="62">
        <f t="shared" si="4"/>
        <v>13.62425</v>
      </c>
      <c r="S21" s="43">
        <v>0</v>
      </c>
      <c r="T21" s="43">
        <f t="shared" si="5"/>
        <v>346.32843500000007</v>
      </c>
      <c r="U21" s="43">
        <f t="shared" si="6"/>
        <v>2378.521565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2500</v>
      </c>
      <c r="L22" s="62"/>
      <c r="M22" s="43">
        <v>0</v>
      </c>
      <c r="N22" s="62">
        <f t="shared" si="0"/>
        <v>2500</v>
      </c>
      <c r="O22" s="62">
        <f t="shared" si="1"/>
        <v>250</v>
      </c>
      <c r="P22" s="62">
        <f t="shared" si="2"/>
        <v>42.75</v>
      </c>
      <c r="Q22" s="62">
        <f t="shared" si="3"/>
        <v>12.5</v>
      </c>
      <c r="R22" s="62">
        <f t="shared" si="4"/>
        <v>12.5</v>
      </c>
      <c r="S22" s="43">
        <v>0</v>
      </c>
      <c r="T22" s="43">
        <f t="shared" si="5"/>
        <v>317.75</v>
      </c>
      <c r="U22" s="43">
        <f t="shared" si="6"/>
        <v>2182.25</v>
      </c>
      <c r="V22" s="44"/>
      <c r="X22" s="45"/>
    </row>
    <row r="23" spans="1:24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3605</v>
      </c>
      <c r="L23" s="62"/>
      <c r="M23" s="43">
        <v>0</v>
      </c>
      <c r="N23" s="62">
        <f>K23+M23</f>
        <v>3605</v>
      </c>
      <c r="O23" s="62">
        <f>+N23*0.1</f>
        <v>360.5</v>
      </c>
      <c r="P23" s="62">
        <f>+N23*0.0171</f>
        <v>61.645500000000006</v>
      </c>
      <c r="Q23" s="62">
        <f>+N23*0.005</f>
        <v>18.025000000000002</v>
      </c>
      <c r="R23" s="62">
        <f>N23*0.5%</f>
        <v>18.025000000000002</v>
      </c>
      <c r="S23" s="43">
        <v>0</v>
      </c>
      <c r="T23" s="43">
        <f>+O23+P23+Q23+R23+S23</f>
        <v>458.19549999999998</v>
      </c>
      <c r="U23" s="43">
        <f>+N23-T23</f>
        <v>3146.8045000000002</v>
      </c>
      <c r="V23" s="44"/>
      <c r="X23" s="45"/>
    </row>
    <row r="24" spans="1:24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2503.67</v>
      </c>
      <c r="L24" s="62"/>
      <c r="M24" s="43">
        <v>0</v>
      </c>
      <c r="N24" s="62">
        <f t="shared" si="0"/>
        <v>2503.67</v>
      </c>
      <c r="O24" s="62">
        <f t="shared" si="1"/>
        <v>250.36700000000002</v>
      </c>
      <c r="P24" s="62">
        <f t="shared" si="2"/>
        <v>42.812757000000005</v>
      </c>
      <c r="Q24" s="62">
        <f t="shared" si="3"/>
        <v>12.51835</v>
      </c>
      <c r="R24" s="62">
        <f t="shared" si="4"/>
        <v>12.51835</v>
      </c>
      <c r="S24" s="43">
        <v>0</v>
      </c>
      <c r="T24" s="43">
        <f t="shared" si="5"/>
        <v>318.21645699999999</v>
      </c>
      <c r="U24" s="43">
        <f t="shared" si="6"/>
        <v>2185.4535430000001</v>
      </c>
      <c r="V24" s="44"/>
      <c r="X24" s="45"/>
    </row>
    <row r="25" spans="1:24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2500</v>
      </c>
      <c r="L25" s="62"/>
      <c r="M25" s="43">
        <v>0</v>
      </c>
      <c r="N25" s="62">
        <f t="shared" si="0"/>
        <v>2500</v>
      </c>
      <c r="O25" s="62">
        <f t="shared" si="1"/>
        <v>250</v>
      </c>
      <c r="P25" s="62">
        <f t="shared" si="2"/>
        <v>42.75</v>
      </c>
      <c r="Q25" s="62">
        <f t="shared" si="3"/>
        <v>12.5</v>
      </c>
      <c r="R25" s="62">
        <f t="shared" si="4"/>
        <v>12.5</v>
      </c>
      <c r="S25" s="43">
        <v>0</v>
      </c>
      <c r="T25" s="43">
        <f t="shared" si="5"/>
        <v>317.75</v>
      </c>
      <c r="U25" s="43">
        <f t="shared" si="6"/>
        <v>2182.25</v>
      </c>
      <c r="V25" s="44"/>
      <c r="X25" s="45"/>
    </row>
    <row r="26" spans="1:24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2546.16</v>
      </c>
      <c r="L28" s="62"/>
      <c r="M28" s="43">
        <v>0</v>
      </c>
      <c r="N28" s="62">
        <f t="shared" si="0"/>
        <v>2546.16</v>
      </c>
      <c r="O28" s="62">
        <f t="shared" si="1"/>
        <v>254.61599999999999</v>
      </c>
      <c r="P28" s="62">
        <f t="shared" si="2"/>
        <v>43.539335999999999</v>
      </c>
      <c r="Q28" s="62">
        <f t="shared" si="3"/>
        <v>12.7308</v>
      </c>
      <c r="R28" s="62">
        <f t="shared" si="4"/>
        <v>12.7308</v>
      </c>
      <c r="S28" s="43">
        <v>0</v>
      </c>
      <c r="T28" s="43">
        <f t="shared" si="5"/>
        <v>323.61693599999995</v>
      </c>
      <c r="U28" s="43">
        <f t="shared" si="6"/>
        <v>2222.543064</v>
      </c>
      <c r="V28" s="44"/>
      <c r="X28" s="45"/>
    </row>
    <row r="29" spans="1:24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>K29+M29</f>
        <v>2546.16</v>
      </c>
      <c r="O29" s="62">
        <f>+N29*0.1</f>
        <v>254.61599999999999</v>
      </c>
      <c r="P29" s="62">
        <f>+N29*0.0171</f>
        <v>43.539335999999999</v>
      </c>
      <c r="Q29" s="62">
        <f>+N29*0.005</f>
        <v>12.7308</v>
      </c>
      <c r="R29" s="62">
        <f>N29*0.5%</f>
        <v>12.7308</v>
      </c>
      <c r="S29" s="43">
        <v>0</v>
      </c>
      <c r="T29" s="43">
        <f>+O29+P29+Q29+R29+S29</f>
        <v>323.61693599999995</v>
      </c>
      <c r="U29" s="43">
        <f>+N29-T29</f>
        <v>2222.543064</v>
      </c>
      <c r="V29" s="44"/>
      <c r="X29" s="45"/>
    </row>
    <row r="30" spans="1:24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2614.89</v>
      </c>
      <c r="L30" s="62"/>
      <c r="M30" s="43">
        <v>0</v>
      </c>
      <c r="N30" s="62">
        <f t="shared" si="0"/>
        <v>2614.89</v>
      </c>
      <c r="O30" s="62">
        <f t="shared" si="1"/>
        <v>261.48899999999998</v>
      </c>
      <c r="P30" s="62">
        <f t="shared" si="2"/>
        <v>44.714618999999999</v>
      </c>
      <c r="Q30" s="62">
        <f t="shared" si="3"/>
        <v>13.074449999999999</v>
      </c>
      <c r="R30" s="62">
        <f t="shared" si="4"/>
        <v>13.074449999999999</v>
      </c>
      <c r="S30" s="43">
        <v>0</v>
      </c>
      <c r="T30" s="43">
        <f t="shared" si="5"/>
        <v>332.35251900000003</v>
      </c>
      <c r="U30" s="43">
        <f t="shared" si="6"/>
        <v>2282.5374809999998</v>
      </c>
      <c r="V30" s="44"/>
      <c r="X30" s="45"/>
    </row>
    <row r="31" spans="1:24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2939.05</v>
      </c>
      <c r="L31" s="69"/>
      <c r="M31" s="43">
        <v>0</v>
      </c>
      <c r="N31" s="62">
        <f t="shared" si="0"/>
        <v>2939.05</v>
      </c>
      <c r="O31" s="62">
        <f t="shared" si="1"/>
        <v>293.90500000000003</v>
      </c>
      <c r="P31" s="62">
        <f t="shared" si="2"/>
        <v>50.257755000000003</v>
      </c>
      <c r="Q31" s="62">
        <f t="shared" si="3"/>
        <v>14.695250000000001</v>
      </c>
      <c r="R31" s="62">
        <f t="shared" si="4"/>
        <v>14.695250000000001</v>
      </c>
      <c r="S31" s="43">
        <v>0</v>
      </c>
      <c r="T31" s="43">
        <f t="shared" si="5"/>
        <v>373.55325500000004</v>
      </c>
      <c r="U31" s="43">
        <f t="shared" si="6"/>
        <v>2565.4967450000004</v>
      </c>
      <c r="V31" s="44"/>
      <c r="X31" s="45"/>
    </row>
    <row r="32" spans="1:24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2500</v>
      </c>
      <c r="L32" s="69"/>
      <c r="M32" s="43">
        <v>0</v>
      </c>
      <c r="N32" s="62">
        <f t="shared" si="0"/>
        <v>2500</v>
      </c>
      <c r="O32" s="62">
        <f t="shared" si="1"/>
        <v>250</v>
      </c>
      <c r="P32" s="62">
        <f t="shared" si="2"/>
        <v>42.75</v>
      </c>
      <c r="Q32" s="62">
        <f t="shared" si="3"/>
        <v>12.5</v>
      </c>
      <c r="R32" s="62">
        <f t="shared" si="4"/>
        <v>12.5</v>
      </c>
      <c r="S32" s="43">
        <v>0</v>
      </c>
      <c r="T32" s="43">
        <f t="shared" si="5"/>
        <v>317.75</v>
      </c>
      <c r="U32" s="43">
        <f t="shared" si="6"/>
        <v>2182.25</v>
      </c>
      <c r="V32" s="44"/>
      <c r="X32" s="45"/>
    </row>
    <row r="33" spans="1:26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2500</v>
      </c>
      <c r="L33" s="69"/>
      <c r="M33" s="43">
        <v>0</v>
      </c>
      <c r="N33" s="62">
        <f t="shared" si="0"/>
        <v>2500</v>
      </c>
      <c r="O33" s="62">
        <f t="shared" si="1"/>
        <v>250</v>
      </c>
      <c r="P33" s="62">
        <f t="shared" si="2"/>
        <v>42.75</v>
      </c>
      <c r="Q33" s="62">
        <f t="shared" si="3"/>
        <v>12.5</v>
      </c>
      <c r="R33" s="62">
        <f t="shared" si="4"/>
        <v>12.5</v>
      </c>
      <c r="S33" s="43">
        <v>0</v>
      </c>
      <c r="T33" s="43">
        <f t="shared" si="5"/>
        <v>317.75</v>
      </c>
      <c r="U33" s="43">
        <f t="shared" si="6"/>
        <v>2182.25</v>
      </c>
      <c r="V33" s="44"/>
      <c r="X33" s="45"/>
    </row>
    <row r="34" spans="1:26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64543.67</v>
      </c>
      <c r="L34" s="32"/>
      <c r="M34" s="32">
        <f t="shared" ref="M34" si="7">SUM(M13:M30)</f>
        <v>825</v>
      </c>
      <c r="N34" s="32">
        <f>SUM(N11:N33)</f>
        <v>65368.67</v>
      </c>
      <c r="O34" s="32">
        <f>SUM(O11:O33)</f>
        <v>6536.8669999999993</v>
      </c>
      <c r="P34" s="32">
        <f>SUM(P11:P33)</f>
        <v>1117.804257</v>
      </c>
      <c r="Q34" s="32">
        <f>SUM(Q11:Q33)</f>
        <v>326.84334999999999</v>
      </c>
      <c r="R34" s="32">
        <f>SUM(R11:R33)</f>
        <v>326.84334999999999</v>
      </c>
      <c r="S34" s="32">
        <f>SUM(S13:S33)</f>
        <v>0</v>
      </c>
      <c r="T34" s="32">
        <f>SUM(T11:T33)</f>
        <v>8308.3579570000002</v>
      </c>
      <c r="U34" s="32">
        <f>SUM(U11:U33)</f>
        <v>57060.312042999998</v>
      </c>
      <c r="V34" s="19"/>
    </row>
    <row r="35" spans="1:26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3">
        <f>SUM(T34:T34)</f>
        <v>8308.3579570000002</v>
      </c>
      <c r="U35" s="23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 s="46"/>
      <c r="O36"/>
      <c r="P36"/>
      <c r="Q36"/>
      <c r="R36"/>
      <c r="S36"/>
      <c r="T36"/>
      <c r="U36"/>
      <c r="V36"/>
      <c r="Y36"/>
      <c r="Z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 t="s">
        <v>221</v>
      </c>
      <c r="L38"/>
      <c r="M38"/>
      <c r="N38"/>
      <c r="O38"/>
      <c r="P38"/>
      <c r="Q38"/>
      <c r="R38"/>
      <c r="S38"/>
      <c r="T38"/>
      <c r="U38"/>
      <c r="V38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Z38"/>
  <sheetViews>
    <sheetView topLeftCell="A26" workbookViewId="0">
      <selection activeCell="K39" sqref="K39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222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48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50" t="s">
        <v>15</v>
      </c>
      <c r="K9" s="235"/>
      <c r="L9" s="149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9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1">
        <v>2587.36</v>
      </c>
      <c r="L11" s="60"/>
      <c r="M11" s="43">
        <v>0</v>
      </c>
      <c r="N11" s="62">
        <f t="shared" ref="N11:N33" si="0">K11+M11</f>
        <v>2587.36</v>
      </c>
      <c r="O11" s="62">
        <f t="shared" ref="O11:O33" si="1">+N11*0.1</f>
        <v>258.73600000000005</v>
      </c>
      <c r="P11" s="62">
        <f t="shared" ref="P11:P33" si="2">+N11*0.0171</f>
        <v>44.243856000000001</v>
      </c>
      <c r="Q11" s="62">
        <f t="shared" ref="Q11:Q33" si="3">+N11*0.005</f>
        <v>12.936800000000002</v>
      </c>
      <c r="R11" s="62">
        <f t="shared" ref="R11:R33" si="4">N11*0.5%</f>
        <v>12.936800000000002</v>
      </c>
      <c r="S11" s="43">
        <v>0</v>
      </c>
      <c r="T11" s="43">
        <f t="shared" ref="T11:T33" si="5">+O11+P11+Q11+R11+S11</f>
        <v>328.85345600000005</v>
      </c>
      <c r="U11" s="43">
        <f t="shared" ref="U11:U33" si="6">+N11-T11</f>
        <v>2258.5065439999998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2546.16</v>
      </c>
      <c r="L12" s="60"/>
      <c r="M12" s="43">
        <v>0</v>
      </c>
      <c r="N12" s="62">
        <f t="shared" si="0"/>
        <v>2546.16</v>
      </c>
      <c r="O12" s="62">
        <f t="shared" si="1"/>
        <v>254.61599999999999</v>
      </c>
      <c r="P12" s="62">
        <f t="shared" si="2"/>
        <v>43.539335999999999</v>
      </c>
      <c r="Q12" s="62">
        <f t="shared" si="3"/>
        <v>12.7308</v>
      </c>
      <c r="R12" s="62">
        <f t="shared" si="4"/>
        <v>12.7308</v>
      </c>
      <c r="S12" s="43">
        <v>0</v>
      </c>
      <c r="T12" s="43">
        <f t="shared" si="5"/>
        <v>323.61693599999995</v>
      </c>
      <c r="U12" s="43">
        <f t="shared" si="6"/>
        <v>2222.543064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4310.43</v>
      </c>
      <c r="L13" s="62"/>
      <c r="M13" s="43">
        <v>0</v>
      </c>
      <c r="N13" s="62">
        <f t="shared" si="0"/>
        <v>4310.43</v>
      </c>
      <c r="O13" s="62">
        <f t="shared" si="1"/>
        <v>431.04300000000006</v>
      </c>
      <c r="P13" s="62">
        <f t="shared" si="2"/>
        <v>73.708353000000002</v>
      </c>
      <c r="Q13" s="62">
        <f t="shared" si="3"/>
        <v>21.552150000000001</v>
      </c>
      <c r="R13" s="62">
        <f t="shared" si="4"/>
        <v>21.552150000000001</v>
      </c>
      <c r="S13" s="43">
        <v>0</v>
      </c>
      <c r="T13" s="43">
        <f t="shared" si="5"/>
        <v>547.85565300000007</v>
      </c>
      <c r="U13" s="43">
        <f t="shared" si="6"/>
        <v>3762.5743470000002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4239.76</v>
      </c>
      <c r="L14" s="62"/>
      <c r="M14" s="43">
        <v>0</v>
      </c>
      <c r="N14" s="62">
        <f t="shared" si="0"/>
        <v>4239.76</v>
      </c>
      <c r="O14" s="62">
        <f t="shared" si="1"/>
        <v>423.97600000000006</v>
      </c>
      <c r="P14" s="62">
        <f t="shared" si="2"/>
        <v>72.499896000000007</v>
      </c>
      <c r="Q14" s="62">
        <f t="shared" si="3"/>
        <v>21.198800000000002</v>
      </c>
      <c r="R14" s="62">
        <f t="shared" si="4"/>
        <v>21.198800000000002</v>
      </c>
      <c r="S14" s="43">
        <v>0</v>
      </c>
      <c r="T14" s="43">
        <f t="shared" si="5"/>
        <v>538.87349600000005</v>
      </c>
      <c r="U14" s="43">
        <f t="shared" si="6"/>
        <v>3700.8865040000001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3022.72</v>
      </c>
      <c r="L15" s="62"/>
      <c r="M15" s="43">
        <v>0</v>
      </c>
      <c r="N15" s="62">
        <f t="shared" si="0"/>
        <v>3022.72</v>
      </c>
      <c r="O15" s="62">
        <f t="shared" si="1"/>
        <v>302.27199999999999</v>
      </c>
      <c r="P15" s="62">
        <f t="shared" si="2"/>
        <v>51.688511999999996</v>
      </c>
      <c r="Q15" s="62">
        <f t="shared" si="3"/>
        <v>15.1136</v>
      </c>
      <c r="R15" s="62">
        <f t="shared" si="4"/>
        <v>15.1136</v>
      </c>
      <c r="S15" s="43">
        <v>0</v>
      </c>
      <c r="T15" s="43">
        <f t="shared" si="5"/>
        <v>384.18771200000003</v>
      </c>
      <c r="U15" s="43">
        <f t="shared" si="6"/>
        <v>2638.5322879999999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3159.05</v>
      </c>
      <c r="L16" s="62"/>
      <c r="M16" s="43">
        <v>0</v>
      </c>
      <c r="N16" s="62">
        <f t="shared" si="0"/>
        <v>3159.05</v>
      </c>
      <c r="O16" s="62">
        <f t="shared" si="1"/>
        <v>315.90500000000003</v>
      </c>
      <c r="P16" s="62">
        <f t="shared" si="2"/>
        <v>54.019755000000004</v>
      </c>
      <c r="Q16" s="62">
        <f t="shared" si="3"/>
        <v>15.795250000000001</v>
      </c>
      <c r="R16" s="62">
        <f t="shared" si="4"/>
        <v>15.795250000000001</v>
      </c>
      <c r="S16" s="43">
        <v>0</v>
      </c>
      <c r="T16" s="43">
        <f t="shared" si="5"/>
        <v>401.51525500000002</v>
      </c>
      <c r="U16" s="43">
        <f t="shared" si="6"/>
        <v>2757.5347449999999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2546.16</v>
      </c>
      <c r="L17" s="62"/>
      <c r="M17" s="43">
        <v>0</v>
      </c>
      <c r="N17" s="62">
        <f t="shared" si="0"/>
        <v>2546.16</v>
      </c>
      <c r="O17" s="62">
        <f t="shared" si="1"/>
        <v>254.61599999999999</v>
      </c>
      <c r="P17" s="62">
        <f t="shared" si="2"/>
        <v>43.539335999999999</v>
      </c>
      <c r="Q17" s="62">
        <f t="shared" si="3"/>
        <v>12.7308</v>
      </c>
      <c r="R17" s="62">
        <f t="shared" si="4"/>
        <v>12.7308</v>
      </c>
      <c r="S17" s="43">
        <v>0</v>
      </c>
      <c r="T17" s="43">
        <f t="shared" si="5"/>
        <v>323.61693599999995</v>
      </c>
      <c r="U17" s="43">
        <f t="shared" si="6"/>
        <v>2222.543064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2652.25</v>
      </c>
      <c r="L18" s="62"/>
      <c r="M18" s="43">
        <v>0</v>
      </c>
      <c r="N18" s="62">
        <f t="shared" si="0"/>
        <v>2652.25</v>
      </c>
      <c r="O18" s="62">
        <f t="shared" si="1"/>
        <v>265.22500000000002</v>
      </c>
      <c r="P18" s="62">
        <f t="shared" si="2"/>
        <v>45.353475000000003</v>
      </c>
      <c r="Q18" s="62">
        <f t="shared" si="3"/>
        <v>13.26125</v>
      </c>
      <c r="R18" s="62">
        <f t="shared" si="4"/>
        <v>13.26125</v>
      </c>
      <c r="S18" s="43">
        <v>0</v>
      </c>
      <c r="T18" s="43">
        <f t="shared" si="5"/>
        <v>337.10097500000006</v>
      </c>
      <c r="U18" s="43">
        <f t="shared" si="6"/>
        <v>2315.1490249999997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2500</v>
      </c>
      <c r="L19" s="62"/>
      <c r="M19" s="43">
        <v>0</v>
      </c>
      <c r="N19" s="62">
        <f t="shared" si="0"/>
        <v>2500</v>
      </c>
      <c r="O19" s="62">
        <f t="shared" si="1"/>
        <v>250</v>
      </c>
      <c r="P19" s="62">
        <f t="shared" si="2"/>
        <v>42.75</v>
      </c>
      <c r="Q19" s="62">
        <f t="shared" si="3"/>
        <v>12.5</v>
      </c>
      <c r="R19" s="62">
        <f t="shared" si="4"/>
        <v>12.5</v>
      </c>
      <c r="S19" s="43">
        <v>0</v>
      </c>
      <c r="T19" s="43">
        <f t="shared" si="5"/>
        <v>317.75</v>
      </c>
      <c r="U19" s="43">
        <f t="shared" si="6"/>
        <v>2182.25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2500</v>
      </c>
      <c r="L20" s="62"/>
      <c r="M20" s="43">
        <v>825</v>
      </c>
      <c r="N20" s="62">
        <f t="shared" si="0"/>
        <v>3325</v>
      </c>
      <c r="O20" s="62">
        <f t="shared" si="1"/>
        <v>332.5</v>
      </c>
      <c r="P20" s="62">
        <f t="shared" si="2"/>
        <v>56.857500000000002</v>
      </c>
      <c r="Q20" s="62">
        <f t="shared" si="3"/>
        <v>16.625</v>
      </c>
      <c r="R20" s="62">
        <f t="shared" si="4"/>
        <v>16.625</v>
      </c>
      <c r="S20" s="43">
        <v>0</v>
      </c>
      <c r="T20" s="43">
        <f t="shared" si="5"/>
        <v>422.60750000000002</v>
      </c>
      <c r="U20" s="43">
        <f>+N20-T20</f>
        <v>2902.3924999999999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2724.85</v>
      </c>
      <c r="L21" s="62"/>
      <c r="M21" s="43">
        <v>0</v>
      </c>
      <c r="N21" s="62">
        <f t="shared" si="0"/>
        <v>2724.85</v>
      </c>
      <c r="O21" s="62">
        <f t="shared" si="1"/>
        <v>272.48500000000001</v>
      </c>
      <c r="P21" s="62">
        <f t="shared" si="2"/>
        <v>46.594935</v>
      </c>
      <c r="Q21" s="62">
        <f t="shared" si="3"/>
        <v>13.62425</v>
      </c>
      <c r="R21" s="62">
        <f t="shared" si="4"/>
        <v>13.62425</v>
      </c>
      <c r="S21" s="43">
        <v>0</v>
      </c>
      <c r="T21" s="43">
        <f t="shared" si="5"/>
        <v>346.32843500000007</v>
      </c>
      <c r="U21" s="43">
        <f t="shared" si="6"/>
        <v>2378.521565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2500</v>
      </c>
      <c r="L22" s="62"/>
      <c r="M22" s="43">
        <v>0</v>
      </c>
      <c r="N22" s="62">
        <f t="shared" si="0"/>
        <v>2500</v>
      </c>
      <c r="O22" s="62">
        <f t="shared" si="1"/>
        <v>250</v>
      </c>
      <c r="P22" s="62">
        <f t="shared" si="2"/>
        <v>42.75</v>
      </c>
      <c r="Q22" s="62">
        <f t="shared" si="3"/>
        <v>12.5</v>
      </c>
      <c r="R22" s="62">
        <f t="shared" si="4"/>
        <v>12.5</v>
      </c>
      <c r="S22" s="43">
        <v>0</v>
      </c>
      <c r="T22" s="43">
        <f t="shared" si="5"/>
        <v>317.75</v>
      </c>
      <c r="U22" s="43">
        <f t="shared" si="6"/>
        <v>2182.25</v>
      </c>
      <c r="V22" s="44"/>
      <c r="X22" s="45"/>
    </row>
    <row r="23" spans="1:24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3605</v>
      </c>
      <c r="L23" s="62"/>
      <c r="M23" s="43">
        <v>0</v>
      </c>
      <c r="N23" s="62">
        <f>K23+M23</f>
        <v>3605</v>
      </c>
      <c r="O23" s="62">
        <f>+N23*0.1</f>
        <v>360.5</v>
      </c>
      <c r="P23" s="62">
        <f>+N23*0.0171</f>
        <v>61.645500000000006</v>
      </c>
      <c r="Q23" s="62">
        <f>+N23*0.005</f>
        <v>18.025000000000002</v>
      </c>
      <c r="R23" s="62">
        <f>N23*0.5%</f>
        <v>18.025000000000002</v>
      </c>
      <c r="S23" s="43">
        <v>0</v>
      </c>
      <c r="T23" s="43">
        <f>+O23+P23+Q23+R23+S23</f>
        <v>458.19549999999998</v>
      </c>
      <c r="U23" s="43">
        <f>+N23-T23</f>
        <v>3146.8045000000002</v>
      </c>
      <c r="V23" s="44"/>
      <c r="X23" s="45"/>
    </row>
    <row r="24" spans="1:24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2503.67</v>
      </c>
      <c r="L24" s="62"/>
      <c r="M24" s="43">
        <v>0</v>
      </c>
      <c r="N24" s="62">
        <f t="shared" si="0"/>
        <v>2503.67</v>
      </c>
      <c r="O24" s="62">
        <f t="shared" si="1"/>
        <v>250.36700000000002</v>
      </c>
      <c r="P24" s="62">
        <f t="shared" si="2"/>
        <v>42.812757000000005</v>
      </c>
      <c r="Q24" s="62">
        <f t="shared" si="3"/>
        <v>12.51835</v>
      </c>
      <c r="R24" s="62">
        <f t="shared" si="4"/>
        <v>12.51835</v>
      </c>
      <c r="S24" s="43">
        <v>0</v>
      </c>
      <c r="T24" s="43">
        <f t="shared" si="5"/>
        <v>318.21645699999999</v>
      </c>
      <c r="U24" s="43">
        <f t="shared" si="6"/>
        <v>2185.4535430000001</v>
      </c>
      <c r="V24" s="44"/>
      <c r="X24" s="45"/>
    </row>
    <row r="25" spans="1:24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2500</v>
      </c>
      <c r="L25" s="62"/>
      <c r="M25" s="43">
        <v>0</v>
      </c>
      <c r="N25" s="62">
        <f t="shared" si="0"/>
        <v>2500</v>
      </c>
      <c r="O25" s="62">
        <f t="shared" si="1"/>
        <v>250</v>
      </c>
      <c r="P25" s="62">
        <f t="shared" si="2"/>
        <v>42.75</v>
      </c>
      <c r="Q25" s="62">
        <f t="shared" si="3"/>
        <v>12.5</v>
      </c>
      <c r="R25" s="62">
        <f t="shared" si="4"/>
        <v>12.5</v>
      </c>
      <c r="S25" s="43">
        <v>0</v>
      </c>
      <c r="T25" s="43">
        <f t="shared" si="5"/>
        <v>317.75</v>
      </c>
      <c r="U25" s="43">
        <f t="shared" si="6"/>
        <v>2182.25</v>
      </c>
      <c r="V25" s="44"/>
      <c r="X25" s="45"/>
    </row>
    <row r="26" spans="1:24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2546.16</v>
      </c>
      <c r="L28" s="62"/>
      <c r="M28" s="43">
        <v>0</v>
      </c>
      <c r="N28" s="62">
        <f t="shared" si="0"/>
        <v>2546.16</v>
      </c>
      <c r="O28" s="62">
        <f t="shared" si="1"/>
        <v>254.61599999999999</v>
      </c>
      <c r="P28" s="62">
        <f t="shared" si="2"/>
        <v>43.539335999999999</v>
      </c>
      <c r="Q28" s="62">
        <f t="shared" si="3"/>
        <v>12.7308</v>
      </c>
      <c r="R28" s="62">
        <f t="shared" si="4"/>
        <v>12.7308</v>
      </c>
      <c r="S28" s="43">
        <v>0</v>
      </c>
      <c r="T28" s="43">
        <f t="shared" si="5"/>
        <v>323.61693599999995</v>
      </c>
      <c r="U28" s="43">
        <f t="shared" si="6"/>
        <v>2222.543064</v>
      </c>
      <c r="V28" s="44"/>
      <c r="X28" s="45"/>
    </row>
    <row r="29" spans="1:24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>K29+M29</f>
        <v>2546.16</v>
      </c>
      <c r="O29" s="62">
        <f>+N29*0.1</f>
        <v>254.61599999999999</v>
      </c>
      <c r="P29" s="62">
        <f>+N29*0.0171</f>
        <v>43.539335999999999</v>
      </c>
      <c r="Q29" s="62">
        <f>+N29*0.005</f>
        <v>12.7308</v>
      </c>
      <c r="R29" s="62">
        <f>N29*0.5%</f>
        <v>12.7308</v>
      </c>
      <c r="S29" s="43">
        <v>0</v>
      </c>
      <c r="T29" s="43">
        <f>+O29+P29+Q29+R29+S29</f>
        <v>323.61693599999995</v>
      </c>
      <c r="U29" s="43">
        <f>+N29-T29</f>
        <v>2222.543064</v>
      </c>
      <c r="V29" s="44"/>
      <c r="X29" s="45"/>
    </row>
    <row r="30" spans="1:24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2614.89</v>
      </c>
      <c r="L30" s="62"/>
      <c r="M30" s="43">
        <v>0</v>
      </c>
      <c r="N30" s="62">
        <f t="shared" si="0"/>
        <v>2614.89</v>
      </c>
      <c r="O30" s="62">
        <f t="shared" si="1"/>
        <v>261.48899999999998</v>
      </c>
      <c r="P30" s="62">
        <f t="shared" si="2"/>
        <v>44.714618999999999</v>
      </c>
      <c r="Q30" s="62">
        <f t="shared" si="3"/>
        <v>13.074449999999999</v>
      </c>
      <c r="R30" s="62">
        <f t="shared" si="4"/>
        <v>13.074449999999999</v>
      </c>
      <c r="S30" s="43">
        <v>0</v>
      </c>
      <c r="T30" s="43">
        <f t="shared" si="5"/>
        <v>332.35251900000003</v>
      </c>
      <c r="U30" s="43">
        <f t="shared" si="6"/>
        <v>2282.5374809999998</v>
      </c>
      <c r="V30" s="44"/>
      <c r="X30" s="45"/>
    </row>
    <row r="31" spans="1:24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2939.05</v>
      </c>
      <c r="L31" s="69"/>
      <c r="M31" s="43">
        <v>0</v>
      </c>
      <c r="N31" s="62">
        <f t="shared" si="0"/>
        <v>2939.05</v>
      </c>
      <c r="O31" s="62">
        <f t="shared" si="1"/>
        <v>293.90500000000003</v>
      </c>
      <c r="P31" s="62">
        <f t="shared" si="2"/>
        <v>50.257755000000003</v>
      </c>
      <c r="Q31" s="62">
        <f t="shared" si="3"/>
        <v>14.695250000000001</v>
      </c>
      <c r="R31" s="62">
        <f t="shared" si="4"/>
        <v>14.695250000000001</v>
      </c>
      <c r="S31" s="43">
        <v>0</v>
      </c>
      <c r="T31" s="43">
        <f t="shared" si="5"/>
        <v>373.55325500000004</v>
      </c>
      <c r="U31" s="43">
        <f t="shared" si="6"/>
        <v>2565.4967450000004</v>
      </c>
      <c r="V31" s="44"/>
      <c r="X31" s="45"/>
    </row>
    <row r="32" spans="1:24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2500</v>
      </c>
      <c r="L32" s="69"/>
      <c r="M32" s="43">
        <v>0</v>
      </c>
      <c r="N32" s="62">
        <f t="shared" si="0"/>
        <v>2500</v>
      </c>
      <c r="O32" s="62">
        <f t="shared" si="1"/>
        <v>250</v>
      </c>
      <c r="P32" s="62">
        <f t="shared" si="2"/>
        <v>42.75</v>
      </c>
      <c r="Q32" s="62">
        <f t="shared" si="3"/>
        <v>12.5</v>
      </c>
      <c r="R32" s="62">
        <f t="shared" si="4"/>
        <v>12.5</v>
      </c>
      <c r="S32" s="43">
        <v>0</v>
      </c>
      <c r="T32" s="43">
        <f t="shared" si="5"/>
        <v>317.75</v>
      </c>
      <c r="U32" s="43">
        <f t="shared" si="6"/>
        <v>2182.25</v>
      </c>
      <c r="V32" s="44"/>
      <c r="X32" s="45"/>
    </row>
    <row r="33" spans="1:26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2500</v>
      </c>
      <c r="L33" s="69"/>
      <c r="M33" s="43">
        <v>0</v>
      </c>
      <c r="N33" s="62">
        <f t="shared" si="0"/>
        <v>2500</v>
      </c>
      <c r="O33" s="62">
        <f t="shared" si="1"/>
        <v>250</v>
      </c>
      <c r="P33" s="62">
        <f t="shared" si="2"/>
        <v>42.75</v>
      </c>
      <c r="Q33" s="62">
        <f t="shared" si="3"/>
        <v>12.5</v>
      </c>
      <c r="R33" s="62">
        <f t="shared" si="4"/>
        <v>12.5</v>
      </c>
      <c r="S33" s="43">
        <v>0</v>
      </c>
      <c r="T33" s="43">
        <f t="shared" si="5"/>
        <v>317.75</v>
      </c>
      <c r="U33" s="43">
        <f t="shared" si="6"/>
        <v>2182.25</v>
      </c>
      <c r="V33" s="44"/>
      <c r="X33" s="45"/>
    </row>
    <row r="34" spans="1:26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64543.67</v>
      </c>
      <c r="L34" s="32"/>
      <c r="M34" s="32">
        <f t="shared" ref="M34" si="7">SUM(M13:M30)</f>
        <v>825</v>
      </c>
      <c r="N34" s="32">
        <f>SUM(N11:N33)</f>
        <v>65368.67</v>
      </c>
      <c r="O34" s="32">
        <f>SUM(O11:O33)</f>
        <v>6536.8669999999993</v>
      </c>
      <c r="P34" s="32">
        <f>SUM(P11:P33)</f>
        <v>1117.804257</v>
      </c>
      <c r="Q34" s="32">
        <f>SUM(Q11:Q33)</f>
        <v>326.84334999999999</v>
      </c>
      <c r="R34" s="32">
        <f>SUM(R11:R33)</f>
        <v>326.84334999999999</v>
      </c>
      <c r="S34" s="32">
        <f>SUM(S13:S33)</f>
        <v>0</v>
      </c>
      <c r="T34" s="32">
        <f>SUM(T11:T33)</f>
        <v>8308.3579570000002</v>
      </c>
      <c r="U34" s="32">
        <f>SUM(U11:U33)</f>
        <v>57060.312042999998</v>
      </c>
      <c r="V34" s="19"/>
    </row>
    <row r="35" spans="1:26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3">
        <f>SUM(T34:T34)</f>
        <v>8308.3579570000002</v>
      </c>
      <c r="U35" s="23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 s="46"/>
      <c r="O36"/>
      <c r="P36"/>
      <c r="Q36"/>
      <c r="R36"/>
      <c r="S36"/>
      <c r="T36"/>
      <c r="U36"/>
      <c r="V36"/>
      <c r="Y36"/>
      <c r="Z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 t="s">
        <v>223</v>
      </c>
      <c r="L38"/>
      <c r="M38"/>
      <c r="N38"/>
      <c r="O38"/>
      <c r="P38"/>
      <c r="Q38"/>
      <c r="R38"/>
      <c r="S38"/>
      <c r="T38"/>
      <c r="U38"/>
      <c r="V38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Z38"/>
  <sheetViews>
    <sheetView workbookViewId="0">
      <selection activeCell="K39" sqref="K39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224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48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50" t="s">
        <v>15</v>
      </c>
      <c r="K9" s="235"/>
      <c r="L9" s="149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9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1">
        <v>2587.36</v>
      </c>
      <c r="L11" s="60"/>
      <c r="M11" s="43">
        <v>0</v>
      </c>
      <c r="N11" s="62">
        <f t="shared" ref="N11:N33" si="0">K11+M11</f>
        <v>2587.36</v>
      </c>
      <c r="O11" s="62">
        <f t="shared" ref="O11:O33" si="1">+N11*0.1</f>
        <v>258.73600000000005</v>
      </c>
      <c r="P11" s="62">
        <f t="shared" ref="P11:P33" si="2">+N11*0.0171</f>
        <v>44.243856000000001</v>
      </c>
      <c r="Q11" s="62">
        <f t="shared" ref="Q11:Q33" si="3">+N11*0.005</f>
        <v>12.936800000000002</v>
      </c>
      <c r="R11" s="62">
        <f t="shared" ref="R11:R33" si="4">N11*0.5%</f>
        <v>12.936800000000002</v>
      </c>
      <c r="S11" s="43">
        <v>0</v>
      </c>
      <c r="T11" s="43">
        <f t="shared" ref="T11:T33" si="5">+O11+P11+Q11+R11+S11</f>
        <v>328.85345600000005</v>
      </c>
      <c r="U11" s="43">
        <f t="shared" ref="U11:U33" si="6">+N11-T11</f>
        <v>2258.5065439999998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2546.16</v>
      </c>
      <c r="L12" s="60"/>
      <c r="M12" s="43">
        <v>0</v>
      </c>
      <c r="N12" s="62">
        <f t="shared" si="0"/>
        <v>2546.16</v>
      </c>
      <c r="O12" s="62">
        <f t="shared" si="1"/>
        <v>254.61599999999999</v>
      </c>
      <c r="P12" s="62">
        <f t="shared" si="2"/>
        <v>43.539335999999999</v>
      </c>
      <c r="Q12" s="62">
        <f t="shared" si="3"/>
        <v>12.7308</v>
      </c>
      <c r="R12" s="62">
        <f t="shared" si="4"/>
        <v>12.7308</v>
      </c>
      <c r="S12" s="43">
        <v>0</v>
      </c>
      <c r="T12" s="43">
        <f t="shared" si="5"/>
        <v>323.61693599999995</v>
      </c>
      <c r="U12" s="43">
        <f t="shared" si="6"/>
        <v>2222.543064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4310.43</v>
      </c>
      <c r="L13" s="62"/>
      <c r="M13" s="43">
        <v>0</v>
      </c>
      <c r="N13" s="62">
        <f t="shared" si="0"/>
        <v>4310.43</v>
      </c>
      <c r="O13" s="62">
        <f t="shared" si="1"/>
        <v>431.04300000000006</v>
      </c>
      <c r="P13" s="62">
        <f t="shared" si="2"/>
        <v>73.708353000000002</v>
      </c>
      <c r="Q13" s="62">
        <f t="shared" si="3"/>
        <v>21.552150000000001</v>
      </c>
      <c r="R13" s="62">
        <f t="shared" si="4"/>
        <v>21.552150000000001</v>
      </c>
      <c r="S13" s="43">
        <v>0</v>
      </c>
      <c r="T13" s="43">
        <f t="shared" si="5"/>
        <v>547.85565300000007</v>
      </c>
      <c r="U13" s="43">
        <f t="shared" si="6"/>
        <v>3762.5743470000002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4239.76</v>
      </c>
      <c r="L14" s="62"/>
      <c r="M14" s="43">
        <v>0</v>
      </c>
      <c r="N14" s="62">
        <f t="shared" si="0"/>
        <v>4239.76</v>
      </c>
      <c r="O14" s="62">
        <f t="shared" si="1"/>
        <v>423.97600000000006</v>
      </c>
      <c r="P14" s="62">
        <f t="shared" si="2"/>
        <v>72.499896000000007</v>
      </c>
      <c r="Q14" s="62">
        <f t="shared" si="3"/>
        <v>21.198800000000002</v>
      </c>
      <c r="R14" s="62">
        <f t="shared" si="4"/>
        <v>21.198800000000002</v>
      </c>
      <c r="S14" s="43">
        <v>0</v>
      </c>
      <c r="T14" s="43">
        <f t="shared" si="5"/>
        <v>538.87349600000005</v>
      </c>
      <c r="U14" s="43">
        <f t="shared" si="6"/>
        <v>3700.8865040000001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3022.72</v>
      </c>
      <c r="L15" s="62"/>
      <c r="M15" s="43">
        <v>0</v>
      </c>
      <c r="N15" s="62">
        <f t="shared" si="0"/>
        <v>3022.72</v>
      </c>
      <c r="O15" s="62">
        <f t="shared" si="1"/>
        <v>302.27199999999999</v>
      </c>
      <c r="P15" s="62">
        <f t="shared" si="2"/>
        <v>51.688511999999996</v>
      </c>
      <c r="Q15" s="62">
        <f t="shared" si="3"/>
        <v>15.1136</v>
      </c>
      <c r="R15" s="62">
        <f t="shared" si="4"/>
        <v>15.1136</v>
      </c>
      <c r="S15" s="43">
        <v>0</v>
      </c>
      <c r="T15" s="43">
        <f t="shared" si="5"/>
        <v>384.18771200000003</v>
      </c>
      <c r="U15" s="43">
        <f t="shared" si="6"/>
        <v>2638.5322879999999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3159.05</v>
      </c>
      <c r="L16" s="62"/>
      <c r="M16" s="43">
        <v>0</v>
      </c>
      <c r="N16" s="62">
        <f t="shared" si="0"/>
        <v>3159.05</v>
      </c>
      <c r="O16" s="62">
        <f t="shared" si="1"/>
        <v>315.90500000000003</v>
      </c>
      <c r="P16" s="62">
        <f t="shared" si="2"/>
        <v>54.019755000000004</v>
      </c>
      <c r="Q16" s="62">
        <f t="shared" si="3"/>
        <v>15.795250000000001</v>
      </c>
      <c r="R16" s="62">
        <f t="shared" si="4"/>
        <v>15.795250000000001</v>
      </c>
      <c r="S16" s="43">
        <v>0</v>
      </c>
      <c r="T16" s="43">
        <f t="shared" si="5"/>
        <v>401.51525500000002</v>
      </c>
      <c r="U16" s="43">
        <f t="shared" si="6"/>
        <v>2757.5347449999999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2546.16</v>
      </c>
      <c r="L17" s="62"/>
      <c r="M17" s="43">
        <v>0</v>
      </c>
      <c r="N17" s="62">
        <f t="shared" si="0"/>
        <v>2546.16</v>
      </c>
      <c r="O17" s="62">
        <f t="shared" si="1"/>
        <v>254.61599999999999</v>
      </c>
      <c r="P17" s="62">
        <f t="shared" si="2"/>
        <v>43.539335999999999</v>
      </c>
      <c r="Q17" s="62">
        <f t="shared" si="3"/>
        <v>12.7308</v>
      </c>
      <c r="R17" s="62">
        <f t="shared" si="4"/>
        <v>12.7308</v>
      </c>
      <c r="S17" s="43">
        <v>0</v>
      </c>
      <c r="T17" s="43">
        <f t="shared" si="5"/>
        <v>323.61693599999995</v>
      </c>
      <c r="U17" s="43">
        <f t="shared" si="6"/>
        <v>2222.543064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2652.25</v>
      </c>
      <c r="L18" s="62"/>
      <c r="M18" s="43">
        <v>0</v>
      </c>
      <c r="N18" s="62">
        <f t="shared" si="0"/>
        <v>2652.25</v>
      </c>
      <c r="O18" s="62">
        <f t="shared" si="1"/>
        <v>265.22500000000002</v>
      </c>
      <c r="P18" s="62">
        <f t="shared" si="2"/>
        <v>45.353475000000003</v>
      </c>
      <c r="Q18" s="62">
        <f t="shared" si="3"/>
        <v>13.26125</v>
      </c>
      <c r="R18" s="62">
        <f t="shared" si="4"/>
        <v>13.26125</v>
      </c>
      <c r="S18" s="43">
        <v>0</v>
      </c>
      <c r="T18" s="43">
        <f t="shared" si="5"/>
        <v>337.10097500000006</v>
      </c>
      <c r="U18" s="43">
        <f t="shared" si="6"/>
        <v>2315.1490249999997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2500</v>
      </c>
      <c r="L19" s="62"/>
      <c r="M19" s="43">
        <v>0</v>
      </c>
      <c r="N19" s="62">
        <f t="shared" si="0"/>
        <v>2500</v>
      </c>
      <c r="O19" s="62">
        <f t="shared" si="1"/>
        <v>250</v>
      </c>
      <c r="P19" s="62">
        <f t="shared" si="2"/>
        <v>42.75</v>
      </c>
      <c r="Q19" s="62">
        <f t="shared" si="3"/>
        <v>12.5</v>
      </c>
      <c r="R19" s="62">
        <f t="shared" si="4"/>
        <v>12.5</v>
      </c>
      <c r="S19" s="43">
        <v>0</v>
      </c>
      <c r="T19" s="43">
        <f t="shared" si="5"/>
        <v>317.75</v>
      </c>
      <c r="U19" s="43">
        <f t="shared" si="6"/>
        <v>2182.25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2500</v>
      </c>
      <c r="L20" s="62"/>
      <c r="M20" s="43">
        <v>825</v>
      </c>
      <c r="N20" s="62">
        <f t="shared" si="0"/>
        <v>3325</v>
      </c>
      <c r="O20" s="62">
        <f t="shared" si="1"/>
        <v>332.5</v>
      </c>
      <c r="P20" s="62">
        <f t="shared" si="2"/>
        <v>56.857500000000002</v>
      </c>
      <c r="Q20" s="62">
        <f t="shared" si="3"/>
        <v>16.625</v>
      </c>
      <c r="R20" s="62">
        <f t="shared" si="4"/>
        <v>16.625</v>
      </c>
      <c r="S20" s="43">
        <v>0</v>
      </c>
      <c r="T20" s="43">
        <f t="shared" si="5"/>
        <v>422.60750000000002</v>
      </c>
      <c r="U20" s="43">
        <f>+N20-T20</f>
        <v>2902.3924999999999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2724.85</v>
      </c>
      <c r="L21" s="62"/>
      <c r="M21" s="43">
        <v>0</v>
      </c>
      <c r="N21" s="62">
        <f t="shared" si="0"/>
        <v>2724.85</v>
      </c>
      <c r="O21" s="62">
        <f t="shared" si="1"/>
        <v>272.48500000000001</v>
      </c>
      <c r="P21" s="62">
        <f t="shared" si="2"/>
        <v>46.594935</v>
      </c>
      <c r="Q21" s="62">
        <f t="shared" si="3"/>
        <v>13.62425</v>
      </c>
      <c r="R21" s="62">
        <f t="shared" si="4"/>
        <v>13.62425</v>
      </c>
      <c r="S21" s="43">
        <v>0</v>
      </c>
      <c r="T21" s="43">
        <f t="shared" si="5"/>
        <v>346.32843500000007</v>
      </c>
      <c r="U21" s="43">
        <f t="shared" si="6"/>
        <v>2378.521565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2500</v>
      </c>
      <c r="L22" s="62"/>
      <c r="M22" s="43">
        <v>0</v>
      </c>
      <c r="N22" s="62">
        <f t="shared" si="0"/>
        <v>2500</v>
      </c>
      <c r="O22" s="62">
        <f t="shared" si="1"/>
        <v>250</v>
      </c>
      <c r="P22" s="62">
        <f t="shared" si="2"/>
        <v>42.75</v>
      </c>
      <c r="Q22" s="62">
        <f t="shared" si="3"/>
        <v>12.5</v>
      </c>
      <c r="R22" s="62">
        <f t="shared" si="4"/>
        <v>12.5</v>
      </c>
      <c r="S22" s="43">
        <v>0</v>
      </c>
      <c r="T22" s="43">
        <f t="shared" si="5"/>
        <v>317.75</v>
      </c>
      <c r="U22" s="43">
        <f t="shared" si="6"/>
        <v>2182.25</v>
      </c>
      <c r="V22" s="44"/>
      <c r="X22" s="45"/>
    </row>
    <row r="23" spans="1:24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3605</v>
      </c>
      <c r="L23" s="62"/>
      <c r="M23" s="43">
        <v>0</v>
      </c>
      <c r="N23" s="62">
        <f>K23+M23</f>
        <v>3605</v>
      </c>
      <c r="O23" s="62">
        <f>+N23*0.1</f>
        <v>360.5</v>
      </c>
      <c r="P23" s="62">
        <f>+N23*0.0171</f>
        <v>61.645500000000006</v>
      </c>
      <c r="Q23" s="62">
        <f>+N23*0.005</f>
        <v>18.025000000000002</v>
      </c>
      <c r="R23" s="62">
        <f>N23*0.5%</f>
        <v>18.025000000000002</v>
      </c>
      <c r="S23" s="43">
        <v>0</v>
      </c>
      <c r="T23" s="43">
        <f>+O23+P23+Q23+R23+S23</f>
        <v>458.19549999999998</v>
      </c>
      <c r="U23" s="43">
        <f>+N23-T23</f>
        <v>3146.8045000000002</v>
      </c>
      <c r="V23" s="44"/>
      <c r="X23" s="45"/>
    </row>
    <row r="24" spans="1:24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2503.67</v>
      </c>
      <c r="L24" s="62"/>
      <c r="M24" s="43">
        <v>0</v>
      </c>
      <c r="N24" s="62">
        <f t="shared" si="0"/>
        <v>2503.67</v>
      </c>
      <c r="O24" s="62">
        <f t="shared" si="1"/>
        <v>250.36700000000002</v>
      </c>
      <c r="P24" s="62">
        <f t="shared" si="2"/>
        <v>42.812757000000005</v>
      </c>
      <c r="Q24" s="62">
        <f t="shared" si="3"/>
        <v>12.51835</v>
      </c>
      <c r="R24" s="62">
        <f t="shared" si="4"/>
        <v>12.51835</v>
      </c>
      <c r="S24" s="43">
        <v>0</v>
      </c>
      <c r="T24" s="43">
        <f t="shared" si="5"/>
        <v>318.21645699999999</v>
      </c>
      <c r="U24" s="43">
        <f t="shared" si="6"/>
        <v>2185.4535430000001</v>
      </c>
      <c r="V24" s="44"/>
      <c r="X24" s="45"/>
    </row>
    <row r="25" spans="1:24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2500</v>
      </c>
      <c r="L25" s="62"/>
      <c r="M25" s="43">
        <v>0</v>
      </c>
      <c r="N25" s="62">
        <f t="shared" si="0"/>
        <v>2500</v>
      </c>
      <c r="O25" s="62">
        <f t="shared" si="1"/>
        <v>250</v>
      </c>
      <c r="P25" s="62">
        <f t="shared" si="2"/>
        <v>42.75</v>
      </c>
      <c r="Q25" s="62">
        <f t="shared" si="3"/>
        <v>12.5</v>
      </c>
      <c r="R25" s="62">
        <f t="shared" si="4"/>
        <v>12.5</v>
      </c>
      <c r="S25" s="43">
        <v>0</v>
      </c>
      <c r="T25" s="43">
        <f t="shared" si="5"/>
        <v>317.75</v>
      </c>
      <c r="U25" s="43">
        <f t="shared" si="6"/>
        <v>2182.25</v>
      </c>
      <c r="V25" s="44"/>
      <c r="X25" s="45"/>
    </row>
    <row r="26" spans="1:24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2546.16</v>
      </c>
      <c r="L28" s="62"/>
      <c r="M28" s="43">
        <v>0</v>
      </c>
      <c r="N28" s="62">
        <f t="shared" si="0"/>
        <v>2546.16</v>
      </c>
      <c r="O28" s="62">
        <f t="shared" si="1"/>
        <v>254.61599999999999</v>
      </c>
      <c r="P28" s="62">
        <f t="shared" si="2"/>
        <v>43.539335999999999</v>
      </c>
      <c r="Q28" s="62">
        <f t="shared" si="3"/>
        <v>12.7308</v>
      </c>
      <c r="R28" s="62">
        <f t="shared" si="4"/>
        <v>12.7308</v>
      </c>
      <c r="S28" s="43">
        <v>0</v>
      </c>
      <c r="T28" s="43">
        <f t="shared" si="5"/>
        <v>323.61693599999995</v>
      </c>
      <c r="U28" s="43">
        <f t="shared" si="6"/>
        <v>2222.543064</v>
      </c>
      <c r="V28" s="44"/>
      <c r="X28" s="45"/>
    </row>
    <row r="29" spans="1:24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>K29+M29</f>
        <v>2546.16</v>
      </c>
      <c r="O29" s="62">
        <f>+N29*0.1</f>
        <v>254.61599999999999</v>
      </c>
      <c r="P29" s="62">
        <f>+N29*0.0171</f>
        <v>43.539335999999999</v>
      </c>
      <c r="Q29" s="62">
        <f>+N29*0.005</f>
        <v>12.7308</v>
      </c>
      <c r="R29" s="62">
        <f>N29*0.5%</f>
        <v>12.7308</v>
      </c>
      <c r="S29" s="43">
        <v>0</v>
      </c>
      <c r="T29" s="43">
        <f>+O29+P29+Q29+R29+S29</f>
        <v>323.61693599999995</v>
      </c>
      <c r="U29" s="43">
        <f>+N29-T29</f>
        <v>2222.543064</v>
      </c>
      <c r="V29" s="44"/>
      <c r="X29" s="45"/>
    </row>
    <row r="30" spans="1:24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2614.89</v>
      </c>
      <c r="L30" s="62"/>
      <c r="M30" s="43">
        <v>0</v>
      </c>
      <c r="N30" s="62">
        <f t="shared" si="0"/>
        <v>2614.89</v>
      </c>
      <c r="O30" s="62">
        <f t="shared" si="1"/>
        <v>261.48899999999998</v>
      </c>
      <c r="P30" s="62">
        <f t="shared" si="2"/>
        <v>44.714618999999999</v>
      </c>
      <c r="Q30" s="62">
        <f t="shared" si="3"/>
        <v>13.074449999999999</v>
      </c>
      <c r="R30" s="62">
        <f t="shared" si="4"/>
        <v>13.074449999999999</v>
      </c>
      <c r="S30" s="43">
        <v>0</v>
      </c>
      <c r="T30" s="43">
        <f t="shared" si="5"/>
        <v>332.35251900000003</v>
      </c>
      <c r="U30" s="43">
        <f t="shared" si="6"/>
        <v>2282.5374809999998</v>
      </c>
      <c r="V30" s="44"/>
      <c r="X30" s="45"/>
    </row>
    <row r="31" spans="1:24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2939.05</v>
      </c>
      <c r="L31" s="69"/>
      <c r="M31" s="43">
        <v>0</v>
      </c>
      <c r="N31" s="62">
        <f t="shared" si="0"/>
        <v>2939.05</v>
      </c>
      <c r="O31" s="62">
        <f t="shared" si="1"/>
        <v>293.90500000000003</v>
      </c>
      <c r="P31" s="62">
        <f t="shared" si="2"/>
        <v>50.257755000000003</v>
      </c>
      <c r="Q31" s="62">
        <f t="shared" si="3"/>
        <v>14.695250000000001</v>
      </c>
      <c r="R31" s="62">
        <f t="shared" si="4"/>
        <v>14.695250000000001</v>
      </c>
      <c r="S31" s="43">
        <v>0</v>
      </c>
      <c r="T31" s="43">
        <f t="shared" si="5"/>
        <v>373.55325500000004</v>
      </c>
      <c r="U31" s="43">
        <f t="shared" si="6"/>
        <v>2565.4967450000004</v>
      </c>
      <c r="V31" s="44"/>
      <c r="X31" s="45"/>
    </row>
    <row r="32" spans="1:24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2500</v>
      </c>
      <c r="L32" s="69"/>
      <c r="M32" s="43">
        <v>0</v>
      </c>
      <c r="N32" s="62">
        <f t="shared" si="0"/>
        <v>2500</v>
      </c>
      <c r="O32" s="62">
        <f t="shared" si="1"/>
        <v>250</v>
      </c>
      <c r="P32" s="62">
        <f t="shared" si="2"/>
        <v>42.75</v>
      </c>
      <c r="Q32" s="62">
        <f t="shared" si="3"/>
        <v>12.5</v>
      </c>
      <c r="R32" s="62">
        <f t="shared" si="4"/>
        <v>12.5</v>
      </c>
      <c r="S32" s="43">
        <v>0</v>
      </c>
      <c r="T32" s="43">
        <f t="shared" si="5"/>
        <v>317.75</v>
      </c>
      <c r="U32" s="43">
        <f t="shared" si="6"/>
        <v>2182.25</v>
      </c>
      <c r="V32" s="44"/>
      <c r="X32" s="45"/>
    </row>
    <row r="33" spans="1:26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2500</v>
      </c>
      <c r="L33" s="69"/>
      <c r="M33" s="43">
        <v>0</v>
      </c>
      <c r="N33" s="62">
        <f t="shared" si="0"/>
        <v>2500</v>
      </c>
      <c r="O33" s="62">
        <f t="shared" si="1"/>
        <v>250</v>
      </c>
      <c r="P33" s="62">
        <f t="shared" si="2"/>
        <v>42.75</v>
      </c>
      <c r="Q33" s="62">
        <f t="shared" si="3"/>
        <v>12.5</v>
      </c>
      <c r="R33" s="62">
        <f t="shared" si="4"/>
        <v>12.5</v>
      </c>
      <c r="S33" s="43">
        <v>0</v>
      </c>
      <c r="T33" s="43">
        <f t="shared" si="5"/>
        <v>317.75</v>
      </c>
      <c r="U33" s="43">
        <f t="shared" si="6"/>
        <v>2182.25</v>
      </c>
      <c r="V33" s="44"/>
      <c r="X33" s="45"/>
    </row>
    <row r="34" spans="1:26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64543.67</v>
      </c>
      <c r="L34" s="32"/>
      <c r="M34" s="32">
        <f t="shared" ref="M34" si="7">SUM(M13:M30)</f>
        <v>825</v>
      </c>
      <c r="N34" s="32">
        <f>SUM(N11:N33)</f>
        <v>65368.67</v>
      </c>
      <c r="O34" s="32">
        <f>SUM(O11:O33)</f>
        <v>6536.8669999999993</v>
      </c>
      <c r="P34" s="32">
        <f>SUM(P11:P33)</f>
        <v>1117.804257</v>
      </c>
      <c r="Q34" s="32">
        <f>SUM(Q11:Q33)</f>
        <v>326.84334999999999</v>
      </c>
      <c r="R34" s="32">
        <f>SUM(R11:R33)</f>
        <v>326.84334999999999</v>
      </c>
      <c r="S34" s="32">
        <f>SUM(S13:S33)</f>
        <v>0</v>
      </c>
      <c r="T34" s="32">
        <f>SUM(T11:T33)</f>
        <v>8308.3579570000002</v>
      </c>
      <c r="U34" s="32">
        <f>SUM(U11:U33)</f>
        <v>57060.312042999998</v>
      </c>
      <c r="V34" s="19"/>
    </row>
    <row r="35" spans="1:26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3">
        <f>SUM(T34:T34)</f>
        <v>8308.3579570000002</v>
      </c>
      <c r="U35" s="23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 s="46"/>
      <c r="O36"/>
      <c r="P36"/>
      <c r="Q36"/>
      <c r="R36"/>
      <c r="S36"/>
      <c r="T36"/>
      <c r="U36"/>
      <c r="V36"/>
      <c r="Y36"/>
      <c r="Z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 t="s">
        <v>225</v>
      </c>
      <c r="L38"/>
      <c r="M38"/>
      <c r="N38"/>
      <c r="O38"/>
      <c r="P38"/>
      <c r="Q38"/>
      <c r="R38"/>
      <c r="S38"/>
      <c r="T38"/>
      <c r="U38"/>
      <c r="V38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Z38"/>
  <sheetViews>
    <sheetView workbookViewId="0">
      <selection activeCell="K39" sqref="K39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224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48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50" t="s">
        <v>15</v>
      </c>
      <c r="K9" s="235"/>
      <c r="L9" s="149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9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1">
        <v>2587.36</v>
      </c>
      <c r="L11" s="60"/>
      <c r="M11" s="43">
        <v>0</v>
      </c>
      <c r="N11" s="62">
        <f t="shared" ref="N11:N33" si="0">K11+M11</f>
        <v>2587.36</v>
      </c>
      <c r="O11" s="62">
        <f t="shared" ref="O11:O33" si="1">+N11*0.1</f>
        <v>258.73600000000005</v>
      </c>
      <c r="P11" s="62">
        <f t="shared" ref="P11:P33" si="2">+N11*0.0171</f>
        <v>44.243856000000001</v>
      </c>
      <c r="Q11" s="62">
        <f t="shared" ref="Q11:Q33" si="3">+N11*0.005</f>
        <v>12.936800000000002</v>
      </c>
      <c r="R11" s="62">
        <f t="shared" ref="R11:R33" si="4">N11*0.5%</f>
        <v>12.936800000000002</v>
      </c>
      <c r="S11" s="43">
        <v>0</v>
      </c>
      <c r="T11" s="43">
        <f t="shared" ref="T11:T33" si="5">+O11+P11+Q11+R11+S11</f>
        <v>328.85345600000005</v>
      </c>
      <c r="U11" s="43">
        <f t="shared" ref="U11:U33" si="6">+N11-T11</f>
        <v>2258.5065439999998</v>
      </c>
      <c r="V11" s="55"/>
    </row>
    <row r="12" spans="1:24" ht="22.5" customHeight="1">
      <c r="A12" s="57">
        <v>2</v>
      </c>
      <c r="B12" s="41" t="s">
        <v>67</v>
      </c>
      <c r="C12" s="41" t="s">
        <v>68</v>
      </c>
      <c r="D12" s="42"/>
      <c r="E12" s="14"/>
      <c r="F12" s="41" t="s">
        <v>32</v>
      </c>
      <c r="G12" s="59">
        <v>45323</v>
      </c>
      <c r="H12" s="63">
        <v>5</v>
      </c>
      <c r="I12" s="64"/>
      <c r="J12" s="14">
        <v>30</v>
      </c>
      <c r="K12" s="62">
        <v>2546.16</v>
      </c>
      <c r="L12" s="60"/>
      <c r="M12" s="43">
        <v>0</v>
      </c>
      <c r="N12" s="62">
        <f t="shared" si="0"/>
        <v>2546.16</v>
      </c>
      <c r="O12" s="62">
        <f t="shared" si="1"/>
        <v>254.61599999999999</v>
      </c>
      <c r="P12" s="62">
        <f t="shared" si="2"/>
        <v>43.539335999999999</v>
      </c>
      <c r="Q12" s="62">
        <f t="shared" si="3"/>
        <v>12.7308</v>
      </c>
      <c r="R12" s="62">
        <f t="shared" si="4"/>
        <v>12.7308</v>
      </c>
      <c r="S12" s="43">
        <v>0</v>
      </c>
      <c r="T12" s="43">
        <f t="shared" si="5"/>
        <v>323.61693599999995</v>
      </c>
      <c r="U12" s="43">
        <f t="shared" si="6"/>
        <v>2222.543064</v>
      </c>
      <c r="V12" s="55"/>
    </row>
    <row r="13" spans="1:24" ht="22.5" customHeight="1">
      <c r="A13" s="57">
        <v>3</v>
      </c>
      <c r="B13" s="41" t="s">
        <v>44</v>
      </c>
      <c r="C13" s="41" t="s">
        <v>61</v>
      </c>
      <c r="D13" s="42"/>
      <c r="E13" s="14"/>
      <c r="F13" s="41" t="s">
        <v>49</v>
      </c>
      <c r="G13" s="59">
        <v>45323</v>
      </c>
      <c r="H13" s="63">
        <v>6</v>
      </c>
      <c r="I13" s="64"/>
      <c r="J13" s="14">
        <v>30</v>
      </c>
      <c r="K13" s="62">
        <v>4310.43</v>
      </c>
      <c r="L13" s="62"/>
      <c r="M13" s="43">
        <v>0</v>
      </c>
      <c r="N13" s="62">
        <f t="shared" si="0"/>
        <v>4310.43</v>
      </c>
      <c r="O13" s="62">
        <f t="shared" si="1"/>
        <v>431.04300000000006</v>
      </c>
      <c r="P13" s="62">
        <f t="shared" si="2"/>
        <v>73.708353000000002</v>
      </c>
      <c r="Q13" s="62">
        <f t="shared" si="3"/>
        <v>21.552150000000001</v>
      </c>
      <c r="R13" s="62">
        <f t="shared" si="4"/>
        <v>21.552150000000001</v>
      </c>
      <c r="S13" s="43">
        <v>0</v>
      </c>
      <c r="T13" s="43">
        <f t="shared" si="5"/>
        <v>547.85565300000007</v>
      </c>
      <c r="U13" s="43">
        <f t="shared" si="6"/>
        <v>3762.5743470000002</v>
      </c>
      <c r="V13" s="44"/>
      <c r="X13" s="45"/>
    </row>
    <row r="14" spans="1:24" ht="22.5" customHeight="1">
      <c r="A14" s="57">
        <v>4</v>
      </c>
      <c r="B14" s="41" t="s">
        <v>79</v>
      </c>
      <c r="C14" s="41" t="s">
        <v>80</v>
      </c>
      <c r="D14" s="42"/>
      <c r="E14" s="14"/>
      <c r="F14" s="41" t="s">
        <v>148</v>
      </c>
      <c r="G14" s="59">
        <v>45323</v>
      </c>
      <c r="H14" s="40">
        <v>5</v>
      </c>
      <c r="J14" s="15">
        <v>30</v>
      </c>
      <c r="K14" s="38">
        <v>4239.76</v>
      </c>
      <c r="L14" s="62"/>
      <c r="M14" s="43">
        <v>0</v>
      </c>
      <c r="N14" s="62">
        <f t="shared" si="0"/>
        <v>4239.76</v>
      </c>
      <c r="O14" s="62">
        <f t="shared" si="1"/>
        <v>423.97600000000006</v>
      </c>
      <c r="P14" s="62">
        <f t="shared" si="2"/>
        <v>72.499896000000007</v>
      </c>
      <c r="Q14" s="62">
        <f t="shared" si="3"/>
        <v>21.198800000000002</v>
      </c>
      <c r="R14" s="62">
        <f t="shared" si="4"/>
        <v>21.198800000000002</v>
      </c>
      <c r="S14" s="43">
        <v>0</v>
      </c>
      <c r="T14" s="43">
        <f t="shared" si="5"/>
        <v>538.87349600000005</v>
      </c>
      <c r="U14" s="43">
        <f t="shared" si="6"/>
        <v>3700.8865040000001</v>
      </c>
      <c r="V14" s="44"/>
      <c r="X14" s="45"/>
    </row>
    <row r="15" spans="1:24" ht="22.5" customHeight="1">
      <c r="A15" s="57">
        <v>5</v>
      </c>
      <c r="B15" s="110" t="s">
        <v>19</v>
      </c>
      <c r="C15" s="110" t="s">
        <v>20</v>
      </c>
      <c r="D15" s="42"/>
      <c r="E15" s="14"/>
      <c r="F15" s="41" t="s">
        <v>178</v>
      </c>
      <c r="G15" s="59">
        <v>45323</v>
      </c>
      <c r="H15" s="40">
        <v>5</v>
      </c>
      <c r="J15" s="15">
        <v>30</v>
      </c>
      <c r="K15" s="38">
        <v>3022.72</v>
      </c>
      <c r="L15" s="62"/>
      <c r="M15" s="43">
        <v>0</v>
      </c>
      <c r="N15" s="62">
        <f t="shared" si="0"/>
        <v>3022.72</v>
      </c>
      <c r="O15" s="62">
        <f t="shared" si="1"/>
        <v>302.27199999999999</v>
      </c>
      <c r="P15" s="62">
        <f t="shared" si="2"/>
        <v>51.688511999999996</v>
      </c>
      <c r="Q15" s="62">
        <f t="shared" si="3"/>
        <v>15.1136</v>
      </c>
      <c r="R15" s="62">
        <f t="shared" si="4"/>
        <v>15.1136</v>
      </c>
      <c r="S15" s="43">
        <v>0</v>
      </c>
      <c r="T15" s="43">
        <f t="shared" si="5"/>
        <v>384.18771200000003</v>
      </c>
      <c r="U15" s="43">
        <f t="shared" si="6"/>
        <v>2638.5322879999999</v>
      </c>
      <c r="V15" s="44"/>
      <c r="X15" s="45"/>
    </row>
    <row r="16" spans="1:24" ht="22.5" customHeight="1">
      <c r="A16" s="57">
        <v>6</v>
      </c>
      <c r="B16" s="110" t="s">
        <v>101</v>
      </c>
      <c r="C16" s="110" t="s">
        <v>102</v>
      </c>
      <c r="D16" s="119"/>
      <c r="E16" s="120" t="s">
        <v>180</v>
      </c>
      <c r="F16" s="121" t="s">
        <v>103</v>
      </c>
      <c r="G16" s="59">
        <v>45323</v>
      </c>
      <c r="H16" s="40">
        <v>5</v>
      </c>
      <c r="J16" s="15">
        <v>30</v>
      </c>
      <c r="K16" s="38">
        <v>3159.05</v>
      </c>
      <c r="L16" s="62"/>
      <c r="M16" s="43">
        <v>0</v>
      </c>
      <c r="N16" s="62">
        <f t="shared" si="0"/>
        <v>3159.05</v>
      </c>
      <c r="O16" s="62">
        <f t="shared" si="1"/>
        <v>315.90500000000003</v>
      </c>
      <c r="P16" s="62">
        <f t="shared" si="2"/>
        <v>54.019755000000004</v>
      </c>
      <c r="Q16" s="62">
        <f t="shared" si="3"/>
        <v>15.795250000000001</v>
      </c>
      <c r="R16" s="62">
        <f t="shared" si="4"/>
        <v>15.795250000000001</v>
      </c>
      <c r="S16" s="43">
        <v>0</v>
      </c>
      <c r="T16" s="43">
        <f t="shared" si="5"/>
        <v>401.51525500000002</v>
      </c>
      <c r="U16" s="43">
        <f t="shared" si="6"/>
        <v>2757.5347449999999</v>
      </c>
      <c r="V16" s="44"/>
      <c r="X16" s="45"/>
    </row>
    <row r="17" spans="1:24" ht="22.5" customHeight="1">
      <c r="A17" s="57">
        <v>7</v>
      </c>
      <c r="B17" s="41" t="s">
        <v>105</v>
      </c>
      <c r="C17" s="41" t="s">
        <v>104</v>
      </c>
      <c r="D17" s="42"/>
      <c r="E17" s="14"/>
      <c r="F17" s="41" t="s">
        <v>32</v>
      </c>
      <c r="G17" s="59">
        <v>45323</v>
      </c>
      <c r="H17" s="40">
        <v>5</v>
      </c>
      <c r="J17" s="15">
        <v>30</v>
      </c>
      <c r="K17" s="38">
        <v>2546.16</v>
      </c>
      <c r="L17" s="62"/>
      <c r="M17" s="43">
        <v>0</v>
      </c>
      <c r="N17" s="62">
        <f t="shared" si="0"/>
        <v>2546.16</v>
      </c>
      <c r="O17" s="62">
        <f t="shared" si="1"/>
        <v>254.61599999999999</v>
      </c>
      <c r="P17" s="62">
        <f t="shared" si="2"/>
        <v>43.539335999999999</v>
      </c>
      <c r="Q17" s="62">
        <f t="shared" si="3"/>
        <v>12.7308</v>
      </c>
      <c r="R17" s="62">
        <f t="shared" si="4"/>
        <v>12.7308</v>
      </c>
      <c r="S17" s="43">
        <v>0</v>
      </c>
      <c r="T17" s="43">
        <f t="shared" si="5"/>
        <v>323.61693599999995</v>
      </c>
      <c r="U17" s="43">
        <f t="shared" si="6"/>
        <v>2222.543064</v>
      </c>
      <c r="V17" s="44"/>
      <c r="X17" s="45"/>
    </row>
    <row r="18" spans="1:24" ht="22.5" customHeight="1">
      <c r="A18" s="57">
        <v>8</v>
      </c>
      <c r="B18" s="110" t="s">
        <v>69</v>
      </c>
      <c r="C18" s="111" t="s">
        <v>70</v>
      </c>
      <c r="D18" s="127"/>
      <c r="E18" s="128" t="s">
        <v>199</v>
      </c>
      <c r="F18" s="128" t="s">
        <v>199</v>
      </c>
      <c r="G18" s="59">
        <v>45323</v>
      </c>
      <c r="H18" s="40">
        <v>5</v>
      </c>
      <c r="J18" s="15">
        <v>30</v>
      </c>
      <c r="K18" s="38">
        <v>2652.25</v>
      </c>
      <c r="L18" s="62"/>
      <c r="M18" s="43">
        <v>0</v>
      </c>
      <c r="N18" s="62">
        <f t="shared" si="0"/>
        <v>2652.25</v>
      </c>
      <c r="O18" s="62">
        <f t="shared" si="1"/>
        <v>265.22500000000002</v>
      </c>
      <c r="P18" s="62">
        <f t="shared" si="2"/>
        <v>45.353475000000003</v>
      </c>
      <c r="Q18" s="62">
        <f t="shared" si="3"/>
        <v>13.26125</v>
      </c>
      <c r="R18" s="62">
        <f t="shared" si="4"/>
        <v>13.26125</v>
      </c>
      <c r="S18" s="43">
        <v>0</v>
      </c>
      <c r="T18" s="43">
        <f t="shared" si="5"/>
        <v>337.10097500000006</v>
      </c>
      <c r="U18" s="43">
        <f t="shared" si="6"/>
        <v>2315.1490249999997</v>
      </c>
      <c r="V18" s="44"/>
      <c r="X18" s="45"/>
    </row>
    <row r="19" spans="1:24" ht="22.5" customHeight="1">
      <c r="A19" s="57">
        <v>9</v>
      </c>
      <c r="B19" s="21" t="s">
        <v>85</v>
      </c>
      <c r="C19" s="21" t="s">
        <v>86</v>
      </c>
      <c r="D19" s="20"/>
      <c r="E19" s="22" t="s">
        <v>40</v>
      </c>
      <c r="F19" s="30" t="s">
        <v>40</v>
      </c>
      <c r="G19" s="59">
        <v>45323</v>
      </c>
      <c r="H19" s="14">
        <v>5</v>
      </c>
      <c r="I19" s="43">
        <v>2122</v>
      </c>
      <c r="J19" s="14">
        <v>30</v>
      </c>
      <c r="K19" s="62">
        <v>2500</v>
      </c>
      <c r="L19" s="62"/>
      <c r="M19" s="43">
        <v>0</v>
      </c>
      <c r="N19" s="62">
        <f t="shared" si="0"/>
        <v>2500</v>
      </c>
      <c r="O19" s="62">
        <f t="shared" si="1"/>
        <v>250</v>
      </c>
      <c r="P19" s="62">
        <f t="shared" si="2"/>
        <v>42.75</v>
      </c>
      <c r="Q19" s="62">
        <f t="shared" si="3"/>
        <v>12.5</v>
      </c>
      <c r="R19" s="62">
        <f t="shared" si="4"/>
        <v>12.5</v>
      </c>
      <c r="S19" s="43">
        <v>0</v>
      </c>
      <c r="T19" s="43">
        <f t="shared" si="5"/>
        <v>317.75</v>
      </c>
      <c r="U19" s="43">
        <f t="shared" si="6"/>
        <v>2182.25</v>
      </c>
      <c r="V19" s="44"/>
      <c r="X19" s="45"/>
    </row>
    <row r="20" spans="1:24" ht="22.5" customHeight="1">
      <c r="A20" s="57">
        <v>10</v>
      </c>
      <c r="B20" s="41" t="s">
        <v>45</v>
      </c>
      <c r="C20" s="41" t="s">
        <v>46</v>
      </c>
      <c r="D20" s="42"/>
      <c r="E20" s="14"/>
      <c r="F20" s="41" t="s">
        <v>47</v>
      </c>
      <c r="G20" s="30">
        <v>43101</v>
      </c>
      <c r="H20" s="63">
        <v>6</v>
      </c>
      <c r="I20" s="64"/>
      <c r="J20" s="14">
        <v>30</v>
      </c>
      <c r="K20" s="62">
        <v>2500</v>
      </c>
      <c r="L20" s="62"/>
      <c r="M20" s="43">
        <v>825</v>
      </c>
      <c r="N20" s="62">
        <f t="shared" si="0"/>
        <v>3325</v>
      </c>
      <c r="O20" s="62">
        <f t="shared" si="1"/>
        <v>332.5</v>
      </c>
      <c r="P20" s="62">
        <f t="shared" si="2"/>
        <v>56.857500000000002</v>
      </c>
      <c r="Q20" s="62">
        <f t="shared" si="3"/>
        <v>16.625</v>
      </c>
      <c r="R20" s="62">
        <f t="shared" si="4"/>
        <v>16.625</v>
      </c>
      <c r="S20" s="43">
        <v>0</v>
      </c>
      <c r="T20" s="43">
        <f t="shared" si="5"/>
        <v>422.60750000000002</v>
      </c>
      <c r="U20" s="43">
        <f>+N20-T20</f>
        <v>2902.3924999999999</v>
      </c>
      <c r="V20" s="44"/>
      <c r="X20" s="108"/>
    </row>
    <row r="21" spans="1:24" ht="22.5" customHeight="1">
      <c r="A21" s="57">
        <v>11</v>
      </c>
      <c r="B21" s="41" t="s">
        <v>31</v>
      </c>
      <c r="C21" s="41" t="s">
        <v>62</v>
      </c>
      <c r="D21" s="42"/>
      <c r="E21" s="14"/>
      <c r="F21" s="41" t="s">
        <v>32</v>
      </c>
      <c r="G21" s="59">
        <v>45323</v>
      </c>
      <c r="H21" s="40">
        <v>5</v>
      </c>
      <c r="J21" s="15">
        <v>30</v>
      </c>
      <c r="K21" s="38">
        <v>2724.85</v>
      </c>
      <c r="L21" s="62"/>
      <c r="M21" s="43">
        <v>0</v>
      </c>
      <c r="N21" s="62">
        <f t="shared" si="0"/>
        <v>2724.85</v>
      </c>
      <c r="O21" s="62">
        <f t="shared" si="1"/>
        <v>272.48500000000001</v>
      </c>
      <c r="P21" s="62">
        <f t="shared" si="2"/>
        <v>46.594935</v>
      </c>
      <c r="Q21" s="62">
        <f t="shared" si="3"/>
        <v>13.62425</v>
      </c>
      <c r="R21" s="62">
        <f t="shared" si="4"/>
        <v>13.62425</v>
      </c>
      <c r="S21" s="43">
        <v>0</v>
      </c>
      <c r="T21" s="43">
        <f t="shared" si="5"/>
        <v>346.32843500000007</v>
      </c>
      <c r="U21" s="43">
        <f t="shared" si="6"/>
        <v>2378.521565</v>
      </c>
      <c r="V21" s="44"/>
      <c r="X21" s="45"/>
    </row>
    <row r="22" spans="1:24" ht="22.5" customHeight="1">
      <c r="A22" s="57">
        <v>12</v>
      </c>
      <c r="B22" s="110" t="s">
        <v>149</v>
      </c>
      <c r="C22" s="111" t="s">
        <v>150</v>
      </c>
      <c r="D22" s="42"/>
      <c r="E22" s="14"/>
      <c r="F22" s="112" t="s">
        <v>36</v>
      </c>
      <c r="G22" s="59">
        <v>45323</v>
      </c>
      <c r="H22" s="40">
        <v>4</v>
      </c>
      <c r="J22" s="15">
        <v>30</v>
      </c>
      <c r="K22" s="38">
        <v>2500</v>
      </c>
      <c r="L22" s="62"/>
      <c r="M22" s="43">
        <v>0</v>
      </c>
      <c r="N22" s="62">
        <f t="shared" si="0"/>
        <v>2500</v>
      </c>
      <c r="O22" s="62">
        <f t="shared" si="1"/>
        <v>250</v>
      </c>
      <c r="P22" s="62">
        <f t="shared" si="2"/>
        <v>42.75</v>
      </c>
      <c r="Q22" s="62">
        <f t="shared" si="3"/>
        <v>12.5</v>
      </c>
      <c r="R22" s="62">
        <f t="shared" si="4"/>
        <v>12.5</v>
      </c>
      <c r="S22" s="43">
        <v>0</v>
      </c>
      <c r="T22" s="43">
        <f t="shared" si="5"/>
        <v>317.75</v>
      </c>
      <c r="U22" s="43">
        <f t="shared" si="6"/>
        <v>2182.25</v>
      </c>
      <c r="V22" s="44"/>
      <c r="X22" s="45"/>
    </row>
    <row r="23" spans="1:24" ht="22.5" customHeight="1">
      <c r="A23" s="57">
        <v>16</v>
      </c>
      <c r="B23" s="41" t="s">
        <v>213</v>
      </c>
      <c r="C23" s="41" t="s">
        <v>214</v>
      </c>
      <c r="D23" s="42"/>
      <c r="E23" s="14"/>
      <c r="F23" s="123" t="s">
        <v>185</v>
      </c>
      <c r="G23" s="59">
        <v>45323</v>
      </c>
      <c r="H23" s="40">
        <v>5</v>
      </c>
      <c r="J23" s="15">
        <v>30</v>
      </c>
      <c r="K23" s="38">
        <v>3605</v>
      </c>
      <c r="L23" s="62"/>
      <c r="M23" s="43">
        <v>0</v>
      </c>
      <c r="N23" s="62">
        <f>K23+M23</f>
        <v>3605</v>
      </c>
      <c r="O23" s="62">
        <f>+N23*0.1</f>
        <v>360.5</v>
      </c>
      <c r="P23" s="62">
        <f>+N23*0.0171</f>
        <v>61.645500000000006</v>
      </c>
      <c r="Q23" s="62">
        <f>+N23*0.005</f>
        <v>18.025000000000002</v>
      </c>
      <c r="R23" s="62">
        <f>N23*0.5%</f>
        <v>18.025000000000002</v>
      </c>
      <c r="S23" s="43">
        <v>0</v>
      </c>
      <c r="T23" s="43">
        <f>+O23+P23+Q23+R23+S23</f>
        <v>458.19549999999998</v>
      </c>
      <c r="U23" s="43">
        <f>+N23-T23</f>
        <v>3146.8045000000002</v>
      </c>
      <c r="V23" s="44"/>
      <c r="X23" s="45"/>
    </row>
    <row r="24" spans="1:24" ht="22.5" customHeight="1">
      <c r="A24" s="57">
        <v>13</v>
      </c>
      <c r="B24" s="41" t="s">
        <v>52</v>
      </c>
      <c r="C24" s="41" t="s">
        <v>128</v>
      </c>
      <c r="D24" s="42"/>
      <c r="E24" s="14"/>
      <c r="F24" s="41" t="s">
        <v>40</v>
      </c>
      <c r="G24" s="59">
        <v>45323</v>
      </c>
      <c r="H24" s="40">
        <v>5</v>
      </c>
      <c r="J24" s="15">
        <v>30</v>
      </c>
      <c r="K24" s="38">
        <v>2503.67</v>
      </c>
      <c r="L24" s="62"/>
      <c r="M24" s="43">
        <v>0</v>
      </c>
      <c r="N24" s="62">
        <f t="shared" si="0"/>
        <v>2503.67</v>
      </c>
      <c r="O24" s="62">
        <f t="shared" si="1"/>
        <v>250.36700000000002</v>
      </c>
      <c r="P24" s="62">
        <f t="shared" si="2"/>
        <v>42.812757000000005</v>
      </c>
      <c r="Q24" s="62">
        <f t="shared" si="3"/>
        <v>12.51835</v>
      </c>
      <c r="R24" s="62">
        <f t="shared" si="4"/>
        <v>12.51835</v>
      </c>
      <c r="S24" s="43">
        <v>0</v>
      </c>
      <c r="T24" s="43">
        <f t="shared" si="5"/>
        <v>318.21645699999999</v>
      </c>
      <c r="U24" s="43">
        <f t="shared" si="6"/>
        <v>2185.4535430000001</v>
      </c>
      <c r="V24" s="44"/>
      <c r="X24" s="45"/>
    </row>
    <row r="25" spans="1:24" ht="22.5" customHeight="1">
      <c r="A25" s="57">
        <v>14</v>
      </c>
      <c r="B25" s="21" t="s">
        <v>96</v>
      </c>
      <c r="C25" s="21" t="s">
        <v>181</v>
      </c>
      <c r="D25" s="20"/>
      <c r="E25" s="22" t="s">
        <v>40</v>
      </c>
      <c r="F25" s="41" t="s">
        <v>40</v>
      </c>
      <c r="G25" s="59">
        <v>45323</v>
      </c>
      <c r="H25" s="63">
        <v>5</v>
      </c>
      <c r="I25" s="64"/>
      <c r="J25" s="14">
        <v>30</v>
      </c>
      <c r="K25" s="62">
        <v>2500</v>
      </c>
      <c r="L25" s="62"/>
      <c r="M25" s="43">
        <v>0</v>
      </c>
      <c r="N25" s="62">
        <f t="shared" si="0"/>
        <v>2500</v>
      </c>
      <c r="O25" s="62">
        <f t="shared" si="1"/>
        <v>250</v>
      </c>
      <c r="P25" s="62">
        <f t="shared" si="2"/>
        <v>42.75</v>
      </c>
      <c r="Q25" s="62">
        <f t="shared" si="3"/>
        <v>12.5</v>
      </c>
      <c r="R25" s="62">
        <f t="shared" si="4"/>
        <v>12.5</v>
      </c>
      <c r="S25" s="43">
        <v>0</v>
      </c>
      <c r="T25" s="43">
        <f t="shared" si="5"/>
        <v>317.75</v>
      </c>
      <c r="U25" s="43">
        <f t="shared" si="6"/>
        <v>2182.25</v>
      </c>
      <c r="V25" s="44"/>
      <c r="X25" s="45"/>
    </row>
    <row r="26" spans="1:24" ht="22.5" customHeight="1">
      <c r="A26" s="57">
        <v>15</v>
      </c>
      <c r="B26" s="41" t="s">
        <v>82</v>
      </c>
      <c r="C26" s="41" t="s">
        <v>83</v>
      </c>
      <c r="D26" s="42"/>
      <c r="E26" s="14"/>
      <c r="F26" s="41" t="s">
        <v>36</v>
      </c>
      <c r="G26" s="59">
        <v>45323</v>
      </c>
      <c r="H26" s="40">
        <v>4</v>
      </c>
      <c r="J26" s="15">
        <v>30</v>
      </c>
      <c r="K26" s="38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35</v>
      </c>
      <c r="C27" s="41" t="s">
        <v>64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77</v>
      </c>
      <c r="C28" s="41" t="s">
        <v>78</v>
      </c>
      <c r="D28" s="42"/>
      <c r="E28" s="14"/>
      <c r="F28" s="41" t="s">
        <v>32</v>
      </c>
      <c r="G28" s="59">
        <v>45323</v>
      </c>
      <c r="H28" s="40">
        <v>5</v>
      </c>
      <c r="J28" s="15">
        <v>30</v>
      </c>
      <c r="K28" s="38">
        <v>2546.16</v>
      </c>
      <c r="L28" s="62"/>
      <c r="M28" s="43">
        <v>0</v>
      </c>
      <c r="N28" s="62">
        <f t="shared" si="0"/>
        <v>2546.16</v>
      </c>
      <c r="O28" s="62">
        <f t="shared" si="1"/>
        <v>254.61599999999999</v>
      </c>
      <c r="P28" s="62">
        <f t="shared" si="2"/>
        <v>43.539335999999999</v>
      </c>
      <c r="Q28" s="62">
        <f t="shared" si="3"/>
        <v>12.7308</v>
      </c>
      <c r="R28" s="62">
        <f t="shared" si="4"/>
        <v>12.7308</v>
      </c>
      <c r="S28" s="43">
        <v>0</v>
      </c>
      <c r="T28" s="43">
        <f t="shared" si="5"/>
        <v>323.61693599999995</v>
      </c>
      <c r="U28" s="43">
        <f t="shared" si="6"/>
        <v>2222.543064</v>
      </c>
      <c r="V28" s="44"/>
      <c r="X28" s="45"/>
    </row>
    <row r="29" spans="1:24" ht="22.5" customHeight="1">
      <c r="A29" s="57">
        <v>19</v>
      </c>
      <c r="B29" s="41" t="s">
        <v>41</v>
      </c>
      <c r="C29" s="41" t="s">
        <v>72</v>
      </c>
      <c r="D29" s="42"/>
      <c r="E29" s="14"/>
      <c r="F29" s="41" t="s">
        <v>73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>K29+M29</f>
        <v>2546.16</v>
      </c>
      <c r="O29" s="62">
        <f>+N29*0.1</f>
        <v>254.61599999999999</v>
      </c>
      <c r="P29" s="62">
        <f>+N29*0.0171</f>
        <v>43.539335999999999</v>
      </c>
      <c r="Q29" s="62">
        <f>+N29*0.005</f>
        <v>12.7308</v>
      </c>
      <c r="R29" s="62">
        <f>N29*0.5%</f>
        <v>12.7308</v>
      </c>
      <c r="S29" s="43">
        <v>0</v>
      </c>
      <c r="T29" s="43">
        <f>+O29+P29+Q29+R29+S29</f>
        <v>323.61693599999995</v>
      </c>
      <c r="U29" s="43">
        <f>+N29-T29</f>
        <v>2222.543064</v>
      </c>
      <c r="V29" s="44"/>
      <c r="X29" s="45"/>
    </row>
    <row r="30" spans="1:24" ht="22.5" customHeight="1">
      <c r="A30" s="57">
        <v>20</v>
      </c>
      <c r="B30" s="70" t="s">
        <v>50</v>
      </c>
      <c r="C30" s="70" t="s">
        <v>66</v>
      </c>
      <c r="D30" s="71"/>
      <c r="E30" s="72"/>
      <c r="F30" s="70" t="s">
        <v>51</v>
      </c>
      <c r="G30" s="59">
        <v>45323</v>
      </c>
      <c r="H30" s="74">
        <v>5</v>
      </c>
      <c r="J30" s="75">
        <v>30</v>
      </c>
      <c r="K30" s="38">
        <v>2614.89</v>
      </c>
      <c r="L30" s="62"/>
      <c r="M30" s="43">
        <v>0</v>
      </c>
      <c r="N30" s="62">
        <f t="shared" si="0"/>
        <v>2614.89</v>
      </c>
      <c r="O30" s="62">
        <f t="shared" si="1"/>
        <v>261.48899999999998</v>
      </c>
      <c r="P30" s="62">
        <f t="shared" si="2"/>
        <v>44.714618999999999</v>
      </c>
      <c r="Q30" s="62">
        <f t="shared" si="3"/>
        <v>13.074449999999999</v>
      </c>
      <c r="R30" s="62">
        <f t="shared" si="4"/>
        <v>13.074449999999999</v>
      </c>
      <c r="S30" s="43">
        <v>0</v>
      </c>
      <c r="T30" s="43">
        <f t="shared" si="5"/>
        <v>332.35251900000003</v>
      </c>
      <c r="U30" s="43">
        <f t="shared" si="6"/>
        <v>2282.5374809999998</v>
      </c>
      <c r="V30" s="44"/>
      <c r="X30" s="45"/>
    </row>
    <row r="31" spans="1:24" ht="22.5" customHeight="1">
      <c r="A31" s="57">
        <v>21</v>
      </c>
      <c r="B31" s="41" t="s">
        <v>183</v>
      </c>
      <c r="C31" s="41" t="s">
        <v>184</v>
      </c>
      <c r="D31" s="42"/>
      <c r="E31" s="14"/>
      <c r="F31" s="123" t="s">
        <v>215</v>
      </c>
      <c r="G31" s="59">
        <v>45323</v>
      </c>
      <c r="H31" s="122">
        <v>5</v>
      </c>
      <c r="I31" s="15">
        <v>30</v>
      </c>
      <c r="J31" s="75">
        <v>30</v>
      </c>
      <c r="K31" s="68">
        <v>2939.05</v>
      </c>
      <c r="L31" s="69"/>
      <c r="M31" s="43">
        <v>0</v>
      </c>
      <c r="N31" s="62">
        <f t="shared" si="0"/>
        <v>2939.05</v>
      </c>
      <c r="O31" s="62">
        <f t="shared" si="1"/>
        <v>293.90500000000003</v>
      </c>
      <c r="P31" s="62">
        <f t="shared" si="2"/>
        <v>50.257755000000003</v>
      </c>
      <c r="Q31" s="62">
        <f t="shared" si="3"/>
        <v>14.695250000000001</v>
      </c>
      <c r="R31" s="62">
        <f t="shared" si="4"/>
        <v>14.695250000000001</v>
      </c>
      <c r="S31" s="43">
        <v>0</v>
      </c>
      <c r="T31" s="43">
        <f t="shared" si="5"/>
        <v>373.55325500000004</v>
      </c>
      <c r="U31" s="43">
        <f t="shared" si="6"/>
        <v>2565.4967450000004</v>
      </c>
      <c r="V31" s="44"/>
      <c r="X31" s="45"/>
    </row>
    <row r="32" spans="1:24" ht="22.5" customHeight="1">
      <c r="A32" s="57">
        <v>22</v>
      </c>
      <c r="B32" s="41" t="s">
        <v>43</v>
      </c>
      <c r="C32" s="41" t="s">
        <v>124</v>
      </c>
      <c r="D32" s="42"/>
      <c r="E32" s="14"/>
      <c r="F32" s="41" t="s">
        <v>36</v>
      </c>
      <c r="G32" s="59">
        <v>45323</v>
      </c>
      <c r="H32" s="40">
        <v>4</v>
      </c>
      <c r="I32" s="76"/>
      <c r="J32" s="75">
        <v>30</v>
      </c>
      <c r="K32" s="68">
        <v>2500</v>
      </c>
      <c r="L32" s="69"/>
      <c r="M32" s="43">
        <v>0</v>
      </c>
      <c r="N32" s="62">
        <f t="shared" si="0"/>
        <v>2500</v>
      </c>
      <c r="O32" s="62">
        <f t="shared" si="1"/>
        <v>250</v>
      </c>
      <c r="P32" s="62">
        <f t="shared" si="2"/>
        <v>42.75</v>
      </c>
      <c r="Q32" s="62">
        <f t="shared" si="3"/>
        <v>12.5</v>
      </c>
      <c r="R32" s="62">
        <f t="shared" si="4"/>
        <v>12.5</v>
      </c>
      <c r="S32" s="43">
        <v>0</v>
      </c>
      <c r="T32" s="43">
        <f t="shared" si="5"/>
        <v>317.75</v>
      </c>
      <c r="U32" s="43">
        <f t="shared" si="6"/>
        <v>2182.25</v>
      </c>
      <c r="V32" s="44"/>
      <c r="X32" s="45"/>
    </row>
    <row r="33" spans="1:26" ht="22.5" customHeight="1">
      <c r="A33" s="57">
        <v>23</v>
      </c>
      <c r="B33" s="41" t="s">
        <v>37</v>
      </c>
      <c r="C33" s="41" t="s">
        <v>38</v>
      </c>
      <c r="D33" s="42"/>
      <c r="E33" s="14"/>
      <c r="F33" s="41" t="s">
        <v>34</v>
      </c>
      <c r="G33" s="59">
        <v>45323</v>
      </c>
      <c r="H33" s="40">
        <v>5</v>
      </c>
      <c r="I33" s="76"/>
      <c r="J33" s="75">
        <v>30</v>
      </c>
      <c r="K33" s="68">
        <v>2500</v>
      </c>
      <c r="L33" s="69"/>
      <c r="M33" s="43">
        <v>0</v>
      </c>
      <c r="N33" s="62">
        <f t="shared" si="0"/>
        <v>2500</v>
      </c>
      <c r="O33" s="62">
        <f t="shared" si="1"/>
        <v>250</v>
      </c>
      <c r="P33" s="62">
        <f t="shared" si="2"/>
        <v>42.75</v>
      </c>
      <c r="Q33" s="62">
        <f t="shared" si="3"/>
        <v>12.5</v>
      </c>
      <c r="R33" s="62">
        <f t="shared" si="4"/>
        <v>12.5</v>
      </c>
      <c r="S33" s="43">
        <v>0</v>
      </c>
      <c r="T33" s="43">
        <f t="shared" si="5"/>
        <v>317.75</v>
      </c>
      <c r="U33" s="43">
        <f t="shared" si="6"/>
        <v>2182.25</v>
      </c>
      <c r="V33" s="44"/>
      <c r="X33" s="45"/>
    </row>
    <row r="34" spans="1:26" s="18" customFormat="1" ht="21" customHeight="1">
      <c r="A34" s="33"/>
      <c r="B34" s="34"/>
      <c r="C34" s="35" t="s">
        <v>22</v>
      </c>
      <c r="D34" s="34"/>
      <c r="E34" s="36"/>
      <c r="F34" s="34"/>
      <c r="G34" s="34"/>
      <c r="H34" s="65"/>
      <c r="I34" s="65"/>
      <c r="J34" s="37"/>
      <c r="K34" s="32">
        <f>SUM(K11:K33)</f>
        <v>64543.67</v>
      </c>
      <c r="L34" s="32"/>
      <c r="M34" s="32">
        <f t="shared" ref="M34" si="7">SUM(M13:M30)</f>
        <v>825</v>
      </c>
      <c r="N34" s="32">
        <f>SUM(N11:N33)</f>
        <v>65368.67</v>
      </c>
      <c r="O34" s="32">
        <f>SUM(O11:O33)</f>
        <v>6536.8669999999993</v>
      </c>
      <c r="P34" s="32">
        <f>SUM(P11:P33)</f>
        <v>1117.804257</v>
      </c>
      <c r="Q34" s="32">
        <f>SUM(Q11:Q33)</f>
        <v>326.84334999999999</v>
      </c>
      <c r="R34" s="32">
        <f>SUM(R11:R33)</f>
        <v>326.84334999999999</v>
      </c>
      <c r="S34" s="32">
        <f>SUM(S13:S33)</f>
        <v>0</v>
      </c>
      <c r="T34" s="32">
        <f>SUM(T11:T33)</f>
        <v>8308.3579570000002</v>
      </c>
      <c r="U34" s="32">
        <f>SUM(U11:U33)</f>
        <v>57060.312042999998</v>
      </c>
      <c r="V34" s="19"/>
    </row>
    <row r="35" spans="1:26" s="18" customFormat="1" ht="9.75" customHeigh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3">
        <f>SUM(T34:T34)</f>
        <v>8308.3579570000002</v>
      </c>
      <c r="U35" s="23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/>
      <c r="L36"/>
      <c r="M36"/>
      <c r="N36" s="46"/>
      <c r="O36"/>
      <c r="P36"/>
      <c r="Q36"/>
      <c r="R36"/>
      <c r="S36"/>
      <c r="T36"/>
      <c r="U36"/>
      <c r="V36"/>
      <c r="Y36"/>
      <c r="Z36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 t="s">
        <v>225</v>
      </c>
      <c r="L38"/>
      <c r="M38"/>
      <c r="N38"/>
      <c r="O38"/>
      <c r="P38"/>
      <c r="Q38"/>
      <c r="R38"/>
      <c r="S38"/>
      <c r="T38"/>
      <c r="U38"/>
      <c r="V38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Z40"/>
  <sheetViews>
    <sheetView topLeftCell="A23" workbookViewId="0">
      <selection activeCell="J38" sqref="J3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226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48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50" t="s">
        <v>15</v>
      </c>
      <c r="K9" s="235"/>
      <c r="L9" s="149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49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1">
        <v>2587.36</v>
      </c>
      <c r="L11" s="60"/>
      <c r="M11" s="43">
        <v>0</v>
      </c>
      <c r="N11" s="62">
        <f t="shared" ref="N11:N35" si="0">K11+M11</f>
        <v>2587.36</v>
      </c>
      <c r="O11" s="62">
        <f t="shared" ref="O11:O35" si="1">+N11*0.1</f>
        <v>258.73600000000005</v>
      </c>
      <c r="P11" s="62">
        <f t="shared" ref="P11:P35" si="2">+N11*0.0171</f>
        <v>44.243856000000001</v>
      </c>
      <c r="Q11" s="62">
        <f t="shared" ref="Q11:Q35" si="3">+N11*0.005</f>
        <v>12.936800000000002</v>
      </c>
      <c r="R11" s="62">
        <f t="shared" ref="R11:R35" si="4">N11*0.5%</f>
        <v>12.936800000000002</v>
      </c>
      <c r="S11" s="43">
        <v>0</v>
      </c>
      <c r="T11" s="43">
        <f t="shared" ref="T11:T35" si="5">+O11+P11+Q11+R11+S11</f>
        <v>328.85345600000005</v>
      </c>
      <c r="U11" s="43">
        <f t="shared" ref="U11:U35" si="6">+N11-T11</f>
        <v>2258.5065439999998</v>
      </c>
      <c r="V11" s="55"/>
    </row>
    <row r="12" spans="1:24" ht="22.5" customHeight="1">
      <c r="A12" s="57">
        <v>2</v>
      </c>
      <c r="B12" s="56" t="s">
        <v>230</v>
      </c>
      <c r="C12" s="66" t="s">
        <v>231</v>
      </c>
      <c r="D12" s="55"/>
      <c r="E12" s="55"/>
      <c r="F12" s="123" t="s">
        <v>232</v>
      </c>
      <c r="G12" s="59">
        <v>45523</v>
      </c>
      <c r="H12" s="14">
        <v>5</v>
      </c>
      <c r="I12" s="45"/>
      <c r="J12" s="58">
        <v>12</v>
      </c>
      <c r="K12" s="151">
        <v>1000</v>
      </c>
      <c r="L12" s="60"/>
      <c r="M12" s="43">
        <v>0</v>
      </c>
      <c r="N12" s="62">
        <f t="shared" si="0"/>
        <v>1000</v>
      </c>
      <c r="O12" s="62">
        <f t="shared" si="1"/>
        <v>100</v>
      </c>
      <c r="P12" s="62">
        <f t="shared" si="2"/>
        <v>17.100000000000001</v>
      </c>
      <c r="Q12" s="62">
        <f t="shared" si="3"/>
        <v>5</v>
      </c>
      <c r="R12" s="62">
        <f t="shared" si="4"/>
        <v>5</v>
      </c>
      <c r="S12" s="43">
        <v>0</v>
      </c>
      <c r="T12" s="43">
        <f t="shared" si="5"/>
        <v>127.1</v>
      </c>
      <c r="U12" s="43">
        <f t="shared" si="6"/>
        <v>872.9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185</v>
      </c>
      <c r="G13" s="59">
        <v>45518</v>
      </c>
      <c r="H13" s="14">
        <v>5</v>
      </c>
      <c r="I13" s="45"/>
      <c r="J13" s="58">
        <v>17</v>
      </c>
      <c r="K13" s="155">
        <v>1700</v>
      </c>
      <c r="L13" s="60"/>
      <c r="M13" s="43">
        <v>0</v>
      </c>
      <c r="N13" s="62">
        <v>1700</v>
      </c>
      <c r="O13" s="62">
        <f t="shared" si="1"/>
        <v>170</v>
      </c>
      <c r="P13" s="62">
        <f t="shared" si="2"/>
        <v>29.07</v>
      </c>
      <c r="Q13" s="62">
        <f t="shared" si="3"/>
        <v>8.5</v>
      </c>
      <c r="R13" s="62">
        <f t="shared" si="4"/>
        <v>8.5</v>
      </c>
      <c r="S13" s="43">
        <v>0</v>
      </c>
      <c r="T13" s="43">
        <f t="shared" si="5"/>
        <v>216.07</v>
      </c>
      <c r="U13" s="43">
        <f t="shared" si="6"/>
        <v>1483.93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62">
        <f t="shared" si="1"/>
        <v>254.61599999999999</v>
      </c>
      <c r="P14" s="62">
        <f t="shared" si="2"/>
        <v>43.539335999999999</v>
      </c>
      <c r="Q14" s="62">
        <f t="shared" si="3"/>
        <v>12.7308</v>
      </c>
      <c r="R14" s="62">
        <f t="shared" si="4"/>
        <v>12.7308</v>
      </c>
      <c r="S14" s="43">
        <v>0</v>
      </c>
      <c r="T14" s="43">
        <f t="shared" si="5"/>
        <v>323.61693599999995</v>
      </c>
      <c r="U14" s="43">
        <f t="shared" si="6"/>
        <v>2222.543064</v>
      </c>
      <c r="V14" s="55"/>
    </row>
    <row r="15" spans="1:24" ht="22.5" customHeight="1">
      <c r="A15" s="57">
        <v>5</v>
      </c>
      <c r="B15" s="41" t="s">
        <v>44</v>
      </c>
      <c r="C15" s="41" t="s">
        <v>61</v>
      </c>
      <c r="D15" s="42"/>
      <c r="E15" s="14"/>
      <c r="F15" s="41" t="s">
        <v>49</v>
      </c>
      <c r="G15" s="59">
        <v>45323</v>
      </c>
      <c r="H15" s="63">
        <v>6</v>
      </c>
      <c r="I15" s="64"/>
      <c r="J15" s="14">
        <v>30</v>
      </c>
      <c r="K15" s="62">
        <v>4310.43</v>
      </c>
      <c r="L15" s="62"/>
      <c r="M15" s="43">
        <v>0</v>
      </c>
      <c r="N15" s="62">
        <f t="shared" si="0"/>
        <v>4310.43</v>
      </c>
      <c r="O15" s="62">
        <f t="shared" si="1"/>
        <v>431.04300000000006</v>
      </c>
      <c r="P15" s="62">
        <f t="shared" si="2"/>
        <v>73.708353000000002</v>
      </c>
      <c r="Q15" s="62">
        <f t="shared" si="3"/>
        <v>21.552150000000001</v>
      </c>
      <c r="R15" s="62">
        <f t="shared" si="4"/>
        <v>21.552150000000001</v>
      </c>
      <c r="S15" s="43">
        <v>0</v>
      </c>
      <c r="T15" s="43">
        <f t="shared" si="5"/>
        <v>547.85565300000007</v>
      </c>
      <c r="U15" s="43">
        <f t="shared" si="6"/>
        <v>3762.5743470000002</v>
      </c>
      <c r="V15" s="44"/>
      <c r="X15" s="45"/>
    </row>
    <row r="16" spans="1:24" ht="22.5" customHeight="1">
      <c r="A16" s="57">
        <v>6</v>
      </c>
      <c r="B16" s="41" t="s">
        <v>79</v>
      </c>
      <c r="C16" s="41" t="s">
        <v>80</v>
      </c>
      <c r="D16" s="42"/>
      <c r="E16" s="14"/>
      <c r="F16" s="41" t="s">
        <v>148</v>
      </c>
      <c r="G16" s="59">
        <v>45323</v>
      </c>
      <c r="H16" s="40">
        <v>5</v>
      </c>
      <c r="J16" s="15">
        <v>30</v>
      </c>
      <c r="K16" s="38">
        <v>4239.76</v>
      </c>
      <c r="L16" s="62"/>
      <c r="M16" s="43">
        <v>0</v>
      </c>
      <c r="N16" s="62">
        <f t="shared" si="0"/>
        <v>4239.76</v>
      </c>
      <c r="O16" s="62">
        <f t="shared" si="1"/>
        <v>423.97600000000006</v>
      </c>
      <c r="P16" s="62">
        <f t="shared" si="2"/>
        <v>72.499896000000007</v>
      </c>
      <c r="Q16" s="62">
        <f t="shared" si="3"/>
        <v>21.198800000000002</v>
      </c>
      <c r="R16" s="62">
        <f t="shared" si="4"/>
        <v>21.198800000000002</v>
      </c>
      <c r="S16" s="43">
        <v>0</v>
      </c>
      <c r="T16" s="43">
        <f t="shared" si="5"/>
        <v>538.87349600000005</v>
      </c>
      <c r="U16" s="43">
        <f t="shared" si="6"/>
        <v>3700.8865040000001</v>
      </c>
      <c r="V16" s="44"/>
      <c r="X16" s="45"/>
    </row>
    <row r="17" spans="1:24" ht="22.5" customHeight="1">
      <c r="A17" s="57">
        <v>7</v>
      </c>
      <c r="B17" s="110" t="s">
        <v>19</v>
      </c>
      <c r="C17" s="110" t="s">
        <v>20</v>
      </c>
      <c r="D17" s="42"/>
      <c r="E17" s="14"/>
      <c r="F17" s="41" t="s">
        <v>178</v>
      </c>
      <c r="G17" s="59">
        <v>45323</v>
      </c>
      <c r="H17" s="40">
        <v>5</v>
      </c>
      <c r="J17" s="15">
        <v>30</v>
      </c>
      <c r="K17" s="38">
        <v>3022.72</v>
      </c>
      <c r="L17" s="62"/>
      <c r="M17" s="43">
        <v>0</v>
      </c>
      <c r="N17" s="62">
        <f t="shared" si="0"/>
        <v>3022.72</v>
      </c>
      <c r="O17" s="62">
        <f t="shared" si="1"/>
        <v>302.27199999999999</v>
      </c>
      <c r="P17" s="62">
        <f t="shared" si="2"/>
        <v>51.688511999999996</v>
      </c>
      <c r="Q17" s="62">
        <f t="shared" si="3"/>
        <v>15.1136</v>
      </c>
      <c r="R17" s="62">
        <f t="shared" si="4"/>
        <v>15.1136</v>
      </c>
      <c r="S17" s="43">
        <v>0</v>
      </c>
      <c r="T17" s="43">
        <f t="shared" si="5"/>
        <v>384.18771200000003</v>
      </c>
      <c r="U17" s="43">
        <f t="shared" si="6"/>
        <v>2638.5322879999999</v>
      </c>
      <c r="V17" s="44"/>
      <c r="X17" s="45"/>
    </row>
    <row r="18" spans="1:24" ht="22.5" customHeight="1">
      <c r="A18" s="57">
        <v>8</v>
      </c>
      <c r="B18" s="110" t="s">
        <v>101</v>
      </c>
      <c r="C18" s="110" t="s">
        <v>102</v>
      </c>
      <c r="D18" s="119"/>
      <c r="E18" s="120" t="s">
        <v>180</v>
      </c>
      <c r="F18" s="121" t="s">
        <v>103</v>
      </c>
      <c r="G18" s="59">
        <v>45323</v>
      </c>
      <c r="H18" s="40">
        <v>5</v>
      </c>
      <c r="J18" s="15">
        <v>30</v>
      </c>
      <c r="K18" s="38">
        <v>3159.05</v>
      </c>
      <c r="L18" s="62"/>
      <c r="M18" s="43">
        <v>0</v>
      </c>
      <c r="N18" s="62">
        <f t="shared" si="0"/>
        <v>3159.05</v>
      </c>
      <c r="O18" s="62">
        <f t="shared" si="1"/>
        <v>315.90500000000003</v>
      </c>
      <c r="P18" s="62">
        <f t="shared" si="2"/>
        <v>54.019755000000004</v>
      </c>
      <c r="Q18" s="62">
        <f t="shared" si="3"/>
        <v>15.795250000000001</v>
      </c>
      <c r="R18" s="62">
        <f t="shared" si="4"/>
        <v>15.795250000000001</v>
      </c>
      <c r="S18" s="43">
        <v>0</v>
      </c>
      <c r="T18" s="43">
        <f t="shared" si="5"/>
        <v>401.51525500000002</v>
      </c>
      <c r="U18" s="43">
        <f t="shared" si="6"/>
        <v>2757.5347449999999</v>
      </c>
      <c r="V18" s="44"/>
      <c r="X18" s="45"/>
    </row>
    <row r="19" spans="1:24" ht="22.5" customHeight="1">
      <c r="A19" s="57">
        <v>9</v>
      </c>
      <c r="B19" s="41" t="s">
        <v>105</v>
      </c>
      <c r="C19" s="41" t="s">
        <v>104</v>
      </c>
      <c r="D19" s="42"/>
      <c r="E19" s="14"/>
      <c r="F19" s="41" t="s">
        <v>32</v>
      </c>
      <c r="G19" s="59">
        <v>45323</v>
      </c>
      <c r="H19" s="40">
        <v>5</v>
      </c>
      <c r="J19" s="15">
        <v>30</v>
      </c>
      <c r="K19" s="38">
        <v>2546.16</v>
      </c>
      <c r="L19" s="62"/>
      <c r="M19" s="43">
        <v>0</v>
      </c>
      <c r="N19" s="62">
        <f t="shared" si="0"/>
        <v>2546.16</v>
      </c>
      <c r="O19" s="62">
        <f t="shared" si="1"/>
        <v>254.61599999999999</v>
      </c>
      <c r="P19" s="62">
        <f t="shared" si="2"/>
        <v>43.539335999999999</v>
      </c>
      <c r="Q19" s="62">
        <f t="shared" si="3"/>
        <v>12.7308</v>
      </c>
      <c r="R19" s="62">
        <f t="shared" si="4"/>
        <v>12.7308</v>
      </c>
      <c r="S19" s="43">
        <v>0</v>
      </c>
      <c r="T19" s="43">
        <f t="shared" si="5"/>
        <v>323.61693599999995</v>
      </c>
      <c r="U19" s="43">
        <f t="shared" si="6"/>
        <v>2222.543064</v>
      </c>
      <c r="V19" s="44"/>
      <c r="X19" s="45"/>
    </row>
    <row r="20" spans="1:24" ht="22.5" customHeight="1">
      <c r="A20" s="57">
        <v>10</v>
      </c>
      <c r="B20" s="110" t="s">
        <v>69</v>
      </c>
      <c r="C20" s="111" t="s">
        <v>70</v>
      </c>
      <c r="D20" s="127"/>
      <c r="E20" s="128" t="s">
        <v>199</v>
      </c>
      <c r="F20" s="128" t="s">
        <v>199</v>
      </c>
      <c r="G20" s="59">
        <v>45323</v>
      </c>
      <c r="H20" s="40">
        <v>5</v>
      </c>
      <c r="J20" s="15">
        <v>30</v>
      </c>
      <c r="K20" s="38">
        <v>2652.25</v>
      </c>
      <c r="L20" s="62"/>
      <c r="M20" s="43">
        <v>0</v>
      </c>
      <c r="N20" s="62">
        <f t="shared" si="0"/>
        <v>2652.25</v>
      </c>
      <c r="O20" s="62">
        <f t="shared" si="1"/>
        <v>265.22500000000002</v>
      </c>
      <c r="P20" s="62">
        <f t="shared" si="2"/>
        <v>45.353475000000003</v>
      </c>
      <c r="Q20" s="62">
        <f t="shared" si="3"/>
        <v>13.26125</v>
      </c>
      <c r="R20" s="62">
        <f t="shared" si="4"/>
        <v>13.26125</v>
      </c>
      <c r="S20" s="43">
        <v>0</v>
      </c>
      <c r="T20" s="43">
        <f t="shared" si="5"/>
        <v>337.10097500000006</v>
      </c>
      <c r="U20" s="43">
        <f t="shared" si="6"/>
        <v>2315.1490249999997</v>
      </c>
      <c r="V20" s="44"/>
      <c r="X20" s="45"/>
    </row>
    <row r="21" spans="1:24" ht="22.5" customHeight="1">
      <c r="A21" s="57">
        <v>11</v>
      </c>
      <c r="B21" s="21" t="s">
        <v>85</v>
      </c>
      <c r="C21" s="21" t="s">
        <v>86</v>
      </c>
      <c r="D21" s="20"/>
      <c r="E21" s="22" t="s">
        <v>40</v>
      </c>
      <c r="F21" s="30" t="s">
        <v>40</v>
      </c>
      <c r="G21" s="59">
        <v>45323</v>
      </c>
      <c r="H21" s="14">
        <v>5</v>
      </c>
      <c r="I21" s="43">
        <v>2122</v>
      </c>
      <c r="J21" s="14">
        <v>30</v>
      </c>
      <c r="K21" s="62">
        <v>2500</v>
      </c>
      <c r="L21" s="62"/>
      <c r="M21" s="43">
        <v>0</v>
      </c>
      <c r="N21" s="62">
        <f t="shared" si="0"/>
        <v>2500</v>
      </c>
      <c r="O21" s="62">
        <f t="shared" si="1"/>
        <v>250</v>
      </c>
      <c r="P21" s="62">
        <f t="shared" si="2"/>
        <v>42.75</v>
      </c>
      <c r="Q21" s="62">
        <f t="shared" si="3"/>
        <v>12.5</v>
      </c>
      <c r="R21" s="62">
        <f t="shared" si="4"/>
        <v>12.5</v>
      </c>
      <c r="S21" s="43">
        <v>0</v>
      </c>
      <c r="T21" s="43">
        <f t="shared" si="5"/>
        <v>317.75</v>
      </c>
      <c r="U21" s="43">
        <f t="shared" si="6"/>
        <v>2182.25</v>
      </c>
      <c r="V21" s="44"/>
      <c r="X21" s="45"/>
    </row>
    <row r="22" spans="1:24" ht="22.5" customHeight="1">
      <c r="A22" s="57">
        <v>12</v>
      </c>
      <c r="B22" s="41" t="s">
        <v>45</v>
      </c>
      <c r="C22" s="41" t="s">
        <v>46</v>
      </c>
      <c r="D22" s="42"/>
      <c r="E22" s="14"/>
      <c r="F22" s="41" t="s">
        <v>47</v>
      </c>
      <c r="G22" s="30">
        <v>43101</v>
      </c>
      <c r="H22" s="63">
        <v>6</v>
      </c>
      <c r="I22" s="64"/>
      <c r="J22" s="14">
        <v>30</v>
      </c>
      <c r="K22" s="62">
        <v>2500</v>
      </c>
      <c r="L22" s="62"/>
      <c r="M22" s="43">
        <v>825</v>
      </c>
      <c r="N22" s="62">
        <f t="shared" si="0"/>
        <v>3325</v>
      </c>
      <c r="O22" s="62">
        <f t="shared" si="1"/>
        <v>332.5</v>
      </c>
      <c r="P22" s="62">
        <f t="shared" si="2"/>
        <v>56.857500000000002</v>
      </c>
      <c r="Q22" s="62">
        <f t="shared" si="3"/>
        <v>16.625</v>
      </c>
      <c r="R22" s="62">
        <f t="shared" si="4"/>
        <v>16.625</v>
      </c>
      <c r="S22" s="43">
        <v>0</v>
      </c>
      <c r="T22" s="43">
        <f t="shared" si="5"/>
        <v>422.60750000000002</v>
      </c>
      <c r="U22" s="43">
        <f>+N22-T22</f>
        <v>2902.3924999999999</v>
      </c>
      <c r="V22" s="44"/>
      <c r="X22" s="108"/>
    </row>
    <row r="23" spans="1:24" ht="22.5" customHeight="1">
      <c r="A23" s="57">
        <v>13</v>
      </c>
      <c r="B23" s="41" t="s">
        <v>31</v>
      </c>
      <c r="C23" s="41" t="s">
        <v>62</v>
      </c>
      <c r="D23" s="42"/>
      <c r="E23" s="14"/>
      <c r="F23" s="41" t="s">
        <v>32</v>
      </c>
      <c r="G23" s="59">
        <v>45323</v>
      </c>
      <c r="H23" s="40">
        <v>5</v>
      </c>
      <c r="J23" s="15">
        <v>30</v>
      </c>
      <c r="K23" s="38">
        <v>2724.85</v>
      </c>
      <c r="L23" s="62"/>
      <c r="M23" s="43">
        <v>0</v>
      </c>
      <c r="N23" s="62">
        <f t="shared" si="0"/>
        <v>2724.85</v>
      </c>
      <c r="O23" s="62">
        <f t="shared" si="1"/>
        <v>272.48500000000001</v>
      </c>
      <c r="P23" s="62">
        <f t="shared" si="2"/>
        <v>46.594935</v>
      </c>
      <c r="Q23" s="62">
        <f t="shared" si="3"/>
        <v>13.62425</v>
      </c>
      <c r="R23" s="62">
        <f t="shared" si="4"/>
        <v>13.62425</v>
      </c>
      <c r="S23" s="43">
        <v>0</v>
      </c>
      <c r="T23" s="43">
        <f t="shared" si="5"/>
        <v>346.32843500000007</v>
      </c>
      <c r="U23" s="43">
        <f t="shared" si="6"/>
        <v>2378.521565</v>
      </c>
      <c r="V23" s="44"/>
      <c r="X23" s="45"/>
    </row>
    <row r="24" spans="1:24" ht="22.5" customHeight="1">
      <c r="A24" s="57">
        <v>14</v>
      </c>
      <c r="B24" s="110" t="s">
        <v>149</v>
      </c>
      <c r="C24" s="111" t="s">
        <v>150</v>
      </c>
      <c r="D24" s="42"/>
      <c r="E24" s="14"/>
      <c r="F24" s="112" t="s">
        <v>36</v>
      </c>
      <c r="G24" s="59">
        <v>45323</v>
      </c>
      <c r="H24" s="40">
        <v>4</v>
      </c>
      <c r="J24" s="15">
        <v>30</v>
      </c>
      <c r="K24" s="38">
        <v>2500</v>
      </c>
      <c r="L24" s="62"/>
      <c r="M24" s="43">
        <v>0</v>
      </c>
      <c r="N24" s="62">
        <f t="shared" si="0"/>
        <v>2500</v>
      </c>
      <c r="O24" s="62">
        <f t="shared" si="1"/>
        <v>250</v>
      </c>
      <c r="P24" s="62">
        <f t="shared" si="2"/>
        <v>42.75</v>
      </c>
      <c r="Q24" s="62">
        <f t="shared" si="3"/>
        <v>12.5</v>
      </c>
      <c r="R24" s="62">
        <f t="shared" si="4"/>
        <v>12.5</v>
      </c>
      <c r="S24" s="43">
        <v>0</v>
      </c>
      <c r="T24" s="43">
        <f t="shared" si="5"/>
        <v>317.75</v>
      </c>
      <c r="U24" s="43">
        <f t="shared" si="6"/>
        <v>2182.25</v>
      </c>
      <c r="V24" s="44"/>
      <c r="X24" s="45"/>
    </row>
    <row r="25" spans="1:24" ht="22.5" customHeight="1">
      <c r="A25" s="57">
        <v>15</v>
      </c>
      <c r="B25" s="41" t="s">
        <v>213</v>
      </c>
      <c r="C25" s="41" t="s">
        <v>214</v>
      </c>
      <c r="D25" s="42"/>
      <c r="E25" s="14"/>
      <c r="F25" s="123" t="s">
        <v>185</v>
      </c>
      <c r="G25" s="59">
        <v>45323</v>
      </c>
      <c r="H25" s="40">
        <v>5</v>
      </c>
      <c r="J25" s="15">
        <v>7</v>
      </c>
      <c r="K25" s="38">
        <v>841</v>
      </c>
      <c r="L25" s="62"/>
      <c r="M25" s="43">
        <v>0</v>
      </c>
      <c r="N25" s="62">
        <f>K25+M25</f>
        <v>841</v>
      </c>
      <c r="O25" s="62">
        <f>+N25*0.1</f>
        <v>84.100000000000009</v>
      </c>
      <c r="P25" s="62">
        <f>+N25*0.0171</f>
        <v>14.3811</v>
      </c>
      <c r="Q25" s="62">
        <f>+N25*0.005</f>
        <v>4.2050000000000001</v>
      </c>
      <c r="R25" s="62">
        <f>N25*0.5%</f>
        <v>4.2050000000000001</v>
      </c>
      <c r="S25" s="43">
        <v>0</v>
      </c>
      <c r="T25" s="43">
        <f>+O25+P25+Q25+R25+S25</f>
        <v>106.89110000000001</v>
      </c>
      <c r="U25" s="43">
        <f>+N25-T25</f>
        <v>734.10889999999995</v>
      </c>
      <c r="V25" s="44"/>
      <c r="X25" s="45"/>
    </row>
    <row r="26" spans="1:24" ht="22.5" customHeight="1">
      <c r="A26" s="57">
        <v>16</v>
      </c>
      <c r="B26" s="41" t="s">
        <v>52</v>
      </c>
      <c r="C26" s="41" t="s">
        <v>128</v>
      </c>
      <c r="D26" s="42"/>
      <c r="E26" s="14"/>
      <c r="F26" s="41" t="s">
        <v>40</v>
      </c>
      <c r="G26" s="59">
        <v>45323</v>
      </c>
      <c r="H26" s="40">
        <v>5</v>
      </c>
      <c r="J26" s="15">
        <v>30</v>
      </c>
      <c r="K26" s="38">
        <v>2503.67</v>
      </c>
      <c r="L26" s="62"/>
      <c r="M26" s="43">
        <v>0</v>
      </c>
      <c r="N26" s="62">
        <f t="shared" si="0"/>
        <v>2503.67</v>
      </c>
      <c r="O26" s="62">
        <f t="shared" si="1"/>
        <v>250.36700000000002</v>
      </c>
      <c r="P26" s="62">
        <f t="shared" si="2"/>
        <v>42.812757000000005</v>
      </c>
      <c r="Q26" s="62">
        <f t="shared" si="3"/>
        <v>12.51835</v>
      </c>
      <c r="R26" s="62">
        <f t="shared" si="4"/>
        <v>12.51835</v>
      </c>
      <c r="S26" s="43">
        <v>0</v>
      </c>
      <c r="T26" s="43">
        <f t="shared" si="5"/>
        <v>318.21645699999999</v>
      </c>
      <c r="U26" s="43">
        <f t="shared" si="6"/>
        <v>2185.4535430000001</v>
      </c>
      <c r="V26" s="44"/>
      <c r="X26" s="45"/>
    </row>
    <row r="27" spans="1:24" ht="22.5" customHeight="1">
      <c r="A27" s="57">
        <v>17</v>
      </c>
      <c r="B27" s="21" t="s">
        <v>96</v>
      </c>
      <c r="C27" s="21" t="s">
        <v>181</v>
      </c>
      <c r="D27" s="20"/>
      <c r="E27" s="22" t="s">
        <v>40</v>
      </c>
      <c r="F27" s="41" t="s">
        <v>40</v>
      </c>
      <c r="G27" s="59">
        <v>45323</v>
      </c>
      <c r="H27" s="63">
        <v>5</v>
      </c>
      <c r="I27" s="64"/>
      <c r="J27" s="14">
        <v>30</v>
      </c>
      <c r="K27" s="62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82</v>
      </c>
      <c r="C28" s="41" t="s">
        <v>83</v>
      </c>
      <c r="D28" s="42"/>
      <c r="E28" s="14"/>
      <c r="F28" s="41" t="s">
        <v>36</v>
      </c>
      <c r="G28" s="59">
        <v>45323</v>
      </c>
      <c r="H28" s="40">
        <v>4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62">
        <f t="shared" si="1"/>
        <v>250</v>
      </c>
      <c r="P28" s="62">
        <f t="shared" si="2"/>
        <v>42.75</v>
      </c>
      <c r="Q28" s="62">
        <f t="shared" si="3"/>
        <v>12.5</v>
      </c>
      <c r="R28" s="62">
        <f t="shared" si="4"/>
        <v>12.5</v>
      </c>
      <c r="S28" s="43">
        <v>0</v>
      </c>
      <c r="T28" s="43">
        <f t="shared" si="5"/>
        <v>317.75</v>
      </c>
      <c r="U28" s="43">
        <f t="shared" si="6"/>
        <v>2182.25</v>
      </c>
      <c r="V28" s="44"/>
      <c r="X28" s="45"/>
    </row>
    <row r="29" spans="1:24" ht="22.5" customHeight="1">
      <c r="A29" s="57">
        <v>19</v>
      </c>
      <c r="B29" s="41" t="s">
        <v>35</v>
      </c>
      <c r="C29" s="41" t="s">
        <v>64</v>
      </c>
      <c r="D29" s="42"/>
      <c r="E29" s="14"/>
      <c r="F29" s="41" t="s">
        <v>36</v>
      </c>
      <c r="G29" s="59">
        <v>45323</v>
      </c>
      <c r="H29" s="40">
        <v>4</v>
      </c>
      <c r="J29" s="15">
        <v>30</v>
      </c>
      <c r="K29" s="38">
        <v>2500</v>
      </c>
      <c r="L29" s="62"/>
      <c r="M29" s="43">
        <v>0</v>
      </c>
      <c r="N29" s="62">
        <f t="shared" si="0"/>
        <v>2500</v>
      </c>
      <c r="O29" s="62">
        <f t="shared" si="1"/>
        <v>250</v>
      </c>
      <c r="P29" s="62">
        <f t="shared" si="2"/>
        <v>42.75</v>
      </c>
      <c r="Q29" s="62">
        <f t="shared" si="3"/>
        <v>12.5</v>
      </c>
      <c r="R29" s="62">
        <f t="shared" si="4"/>
        <v>12.5</v>
      </c>
      <c r="S29" s="43">
        <v>0</v>
      </c>
      <c r="T29" s="43">
        <f t="shared" si="5"/>
        <v>317.75</v>
      </c>
      <c r="U29" s="43">
        <f t="shared" si="6"/>
        <v>2182.25</v>
      </c>
      <c r="V29" s="44"/>
      <c r="X29" s="45"/>
    </row>
    <row r="30" spans="1:24" ht="22.5" customHeight="1">
      <c r="A30" s="57">
        <v>20</v>
      </c>
      <c r="B30" s="41" t="s">
        <v>77</v>
      </c>
      <c r="C30" s="41" t="s">
        <v>78</v>
      </c>
      <c r="D30" s="42"/>
      <c r="E30" s="14"/>
      <c r="F30" s="41" t="s">
        <v>32</v>
      </c>
      <c r="G30" s="59">
        <v>45323</v>
      </c>
      <c r="H30" s="40">
        <v>5</v>
      </c>
      <c r="J30" s="15">
        <v>30</v>
      </c>
      <c r="K30" s="38">
        <v>2546.16</v>
      </c>
      <c r="L30" s="62"/>
      <c r="M30" s="43">
        <v>0</v>
      </c>
      <c r="N30" s="62">
        <f t="shared" si="0"/>
        <v>2546.16</v>
      </c>
      <c r="O30" s="62">
        <f t="shared" si="1"/>
        <v>254.61599999999999</v>
      </c>
      <c r="P30" s="62">
        <f t="shared" si="2"/>
        <v>43.539335999999999</v>
      </c>
      <c r="Q30" s="62">
        <f t="shared" si="3"/>
        <v>12.7308</v>
      </c>
      <c r="R30" s="62">
        <f t="shared" si="4"/>
        <v>12.7308</v>
      </c>
      <c r="S30" s="43">
        <v>0</v>
      </c>
      <c r="T30" s="43">
        <f t="shared" si="5"/>
        <v>323.61693599999995</v>
      </c>
      <c r="U30" s="43">
        <f t="shared" si="6"/>
        <v>2222.543064</v>
      </c>
      <c r="V30" s="44"/>
      <c r="X30" s="45"/>
    </row>
    <row r="31" spans="1:24" ht="22.5" customHeight="1">
      <c r="A31" s="57">
        <v>21</v>
      </c>
      <c r="B31" s="41" t="s">
        <v>41</v>
      </c>
      <c r="C31" s="41" t="s">
        <v>72</v>
      </c>
      <c r="D31" s="42"/>
      <c r="E31" s="14"/>
      <c r="F31" s="41" t="s">
        <v>73</v>
      </c>
      <c r="G31" s="59">
        <v>45323</v>
      </c>
      <c r="H31" s="40">
        <v>5</v>
      </c>
      <c r="J31" s="15">
        <v>30</v>
      </c>
      <c r="K31" s="38">
        <v>2546.16</v>
      </c>
      <c r="L31" s="62"/>
      <c r="M31" s="43">
        <v>0</v>
      </c>
      <c r="N31" s="62">
        <f>K31+M31</f>
        <v>2546.16</v>
      </c>
      <c r="O31" s="62">
        <f>+N31*0.1</f>
        <v>254.61599999999999</v>
      </c>
      <c r="P31" s="62">
        <f>+N31*0.0171</f>
        <v>43.539335999999999</v>
      </c>
      <c r="Q31" s="62">
        <f>+N31*0.005</f>
        <v>12.7308</v>
      </c>
      <c r="R31" s="62">
        <f>N31*0.5%</f>
        <v>12.7308</v>
      </c>
      <c r="S31" s="43">
        <v>0</v>
      </c>
      <c r="T31" s="43">
        <f>+O31+P31+Q31+R31+S31</f>
        <v>323.61693599999995</v>
      </c>
      <c r="U31" s="43">
        <f>+N31-T31</f>
        <v>2222.543064</v>
      </c>
      <c r="V31" s="44"/>
      <c r="X31" s="45"/>
    </row>
    <row r="32" spans="1:24" ht="22.5" customHeight="1">
      <c r="A32" s="57">
        <v>22</v>
      </c>
      <c r="B32" s="70" t="s">
        <v>50</v>
      </c>
      <c r="C32" s="70" t="s">
        <v>66</v>
      </c>
      <c r="D32" s="71"/>
      <c r="E32" s="72"/>
      <c r="F32" s="70" t="s">
        <v>51</v>
      </c>
      <c r="G32" s="59">
        <v>45323</v>
      </c>
      <c r="H32" s="74">
        <v>5</v>
      </c>
      <c r="J32" s="75">
        <v>30</v>
      </c>
      <c r="K32" s="38">
        <v>2614.89</v>
      </c>
      <c r="L32" s="62"/>
      <c r="M32" s="43">
        <v>0</v>
      </c>
      <c r="N32" s="62">
        <f t="shared" si="0"/>
        <v>2614.89</v>
      </c>
      <c r="O32" s="62">
        <f t="shared" si="1"/>
        <v>261.48899999999998</v>
      </c>
      <c r="P32" s="62">
        <f t="shared" si="2"/>
        <v>44.714618999999999</v>
      </c>
      <c r="Q32" s="62">
        <f t="shared" si="3"/>
        <v>13.074449999999999</v>
      </c>
      <c r="R32" s="62">
        <f t="shared" si="4"/>
        <v>13.074449999999999</v>
      </c>
      <c r="S32" s="43">
        <v>0</v>
      </c>
      <c r="T32" s="43">
        <f t="shared" si="5"/>
        <v>332.35251900000003</v>
      </c>
      <c r="U32" s="43">
        <f t="shared" si="6"/>
        <v>2282.5374809999998</v>
      </c>
      <c r="V32" s="44"/>
      <c r="X32" s="45"/>
    </row>
    <row r="33" spans="1:26" ht="22.5" customHeight="1">
      <c r="A33" s="57">
        <v>23</v>
      </c>
      <c r="B33" s="41" t="s">
        <v>183</v>
      </c>
      <c r="C33" s="41" t="s">
        <v>184</v>
      </c>
      <c r="D33" s="42"/>
      <c r="E33" s="14"/>
      <c r="F33" s="123" t="s">
        <v>215</v>
      </c>
      <c r="G33" s="59">
        <v>45323</v>
      </c>
      <c r="H33" s="122">
        <v>5</v>
      </c>
      <c r="I33" s="15">
        <v>30</v>
      </c>
      <c r="J33" s="75">
        <v>30</v>
      </c>
      <c r="K33" s="68">
        <v>2939.05</v>
      </c>
      <c r="L33" s="69"/>
      <c r="M33" s="43">
        <v>0</v>
      </c>
      <c r="N33" s="62">
        <f t="shared" si="0"/>
        <v>2939.05</v>
      </c>
      <c r="O33" s="62">
        <f t="shared" si="1"/>
        <v>293.90500000000003</v>
      </c>
      <c r="P33" s="62">
        <f t="shared" si="2"/>
        <v>50.257755000000003</v>
      </c>
      <c r="Q33" s="62">
        <f t="shared" si="3"/>
        <v>14.695250000000001</v>
      </c>
      <c r="R33" s="62">
        <f t="shared" si="4"/>
        <v>14.695250000000001</v>
      </c>
      <c r="S33" s="43">
        <v>0</v>
      </c>
      <c r="T33" s="43">
        <f t="shared" si="5"/>
        <v>373.55325500000004</v>
      </c>
      <c r="U33" s="43">
        <f t="shared" si="6"/>
        <v>2565.4967450000004</v>
      </c>
      <c r="V33" s="44"/>
      <c r="X33" s="45"/>
    </row>
    <row r="34" spans="1:26" ht="22.5" customHeight="1">
      <c r="A34" s="57">
        <v>24</v>
      </c>
      <c r="B34" s="41" t="s">
        <v>43</v>
      </c>
      <c r="C34" s="41" t="s">
        <v>124</v>
      </c>
      <c r="D34" s="42"/>
      <c r="E34" s="14"/>
      <c r="F34" s="41" t="s">
        <v>36</v>
      </c>
      <c r="G34" s="59">
        <v>45323</v>
      </c>
      <c r="H34" s="40">
        <v>4</v>
      </c>
      <c r="I34" s="76"/>
      <c r="J34" s="75">
        <v>30</v>
      </c>
      <c r="K34" s="68">
        <v>2500</v>
      </c>
      <c r="L34" s="69"/>
      <c r="M34" s="43">
        <v>0</v>
      </c>
      <c r="N34" s="62">
        <f t="shared" si="0"/>
        <v>2500</v>
      </c>
      <c r="O34" s="62">
        <f t="shared" si="1"/>
        <v>250</v>
      </c>
      <c r="P34" s="62">
        <f t="shared" si="2"/>
        <v>42.75</v>
      </c>
      <c r="Q34" s="62">
        <f t="shared" si="3"/>
        <v>12.5</v>
      </c>
      <c r="R34" s="62">
        <f t="shared" si="4"/>
        <v>12.5</v>
      </c>
      <c r="S34" s="43">
        <v>0</v>
      </c>
      <c r="T34" s="43">
        <f t="shared" si="5"/>
        <v>317.75</v>
      </c>
      <c r="U34" s="43">
        <f t="shared" si="6"/>
        <v>2182.25</v>
      </c>
      <c r="V34" s="44"/>
      <c r="X34" s="45"/>
    </row>
    <row r="35" spans="1:26" ht="22.5" customHeight="1">
      <c r="A35" s="57">
        <v>25</v>
      </c>
      <c r="B35" s="41" t="s">
        <v>37</v>
      </c>
      <c r="C35" s="41" t="s">
        <v>38</v>
      </c>
      <c r="D35" s="42"/>
      <c r="E35" s="14"/>
      <c r="F35" s="41" t="s">
        <v>34</v>
      </c>
      <c r="G35" s="59">
        <v>45323</v>
      </c>
      <c r="H35" s="40">
        <v>5</v>
      </c>
      <c r="I35" s="76"/>
      <c r="J35" s="75">
        <v>30</v>
      </c>
      <c r="K35" s="68">
        <v>2500</v>
      </c>
      <c r="L35" s="69"/>
      <c r="M35" s="43">
        <v>0</v>
      </c>
      <c r="N35" s="62">
        <f t="shared" si="0"/>
        <v>2500</v>
      </c>
      <c r="O35" s="62">
        <f t="shared" si="1"/>
        <v>250</v>
      </c>
      <c r="P35" s="62">
        <f t="shared" si="2"/>
        <v>42.75</v>
      </c>
      <c r="Q35" s="62">
        <f t="shared" si="3"/>
        <v>12.5</v>
      </c>
      <c r="R35" s="62">
        <f t="shared" si="4"/>
        <v>12.5</v>
      </c>
      <c r="S35" s="43">
        <v>0</v>
      </c>
      <c r="T35" s="43">
        <f t="shared" si="5"/>
        <v>317.75</v>
      </c>
      <c r="U35" s="43">
        <f t="shared" si="6"/>
        <v>2182.25</v>
      </c>
      <c r="V35" s="44"/>
      <c r="X35" s="45"/>
    </row>
    <row r="36" spans="1:26" s="18" customFormat="1" ht="21" customHeight="1">
      <c r="A36" s="33"/>
      <c r="B36" s="34"/>
      <c r="C36" s="35" t="s">
        <v>22</v>
      </c>
      <c r="D36" s="34"/>
      <c r="E36" s="36"/>
      <c r="F36" s="34"/>
      <c r="G36" s="34"/>
      <c r="H36" s="65"/>
      <c r="I36" s="65"/>
      <c r="J36" s="37"/>
      <c r="K36" s="32">
        <f>SUM(K11:K35)</f>
        <v>64479.67</v>
      </c>
      <c r="L36" s="32"/>
      <c r="M36" s="32">
        <f t="shared" ref="M36" si="7">SUM(M15:M32)</f>
        <v>825</v>
      </c>
      <c r="N36" s="32">
        <f>SUM(N11:N35)</f>
        <v>65304.67</v>
      </c>
      <c r="O36" s="32">
        <f>SUM(O11:O35)</f>
        <v>6530.4669999999996</v>
      </c>
      <c r="P36" s="32">
        <f>SUM(P11:P35)</f>
        <v>1116.7098569999998</v>
      </c>
      <c r="Q36" s="32">
        <f>SUM(Q11:Q35)</f>
        <v>326.52334999999999</v>
      </c>
      <c r="R36" s="32">
        <f>SUM(R11:R35)</f>
        <v>326.52334999999999</v>
      </c>
      <c r="S36" s="32">
        <f>SUM(S15:S35)</f>
        <v>0</v>
      </c>
      <c r="T36" s="32">
        <f>SUM(T11:T35)</f>
        <v>8300.2235570000012</v>
      </c>
      <c r="U36" s="32">
        <f>SUM(U11:U35)</f>
        <v>57004.446442999993</v>
      </c>
      <c r="V36" s="19"/>
    </row>
    <row r="37" spans="1:26" s="18" customFormat="1" ht="9.75" customHeight="1">
      <c r="A37"/>
      <c r="B37"/>
      <c r="C37"/>
      <c r="D37"/>
      <c r="E37" s="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23">
        <f>SUM(T36:T36)</f>
        <v>8300.2235570000012</v>
      </c>
      <c r="U37" s="23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/>
      <c r="L38"/>
      <c r="M38"/>
      <c r="N38" s="46"/>
      <c r="O38"/>
      <c r="P38"/>
      <c r="Q38"/>
      <c r="R38"/>
      <c r="S38"/>
      <c r="T38"/>
      <c r="U38"/>
      <c r="V38"/>
      <c r="Y38"/>
      <c r="Z38"/>
    </row>
    <row r="39" spans="1:26" s="18" customFormat="1">
      <c r="A39"/>
      <c r="B39"/>
      <c r="C39"/>
      <c r="D39"/>
      <c r="E39" s="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6" s="18" customFormat="1">
      <c r="A40"/>
      <c r="B40"/>
      <c r="C40"/>
      <c r="D40"/>
      <c r="E40" s="9"/>
      <c r="F40"/>
      <c r="G40"/>
      <c r="H40"/>
      <c r="I40"/>
      <c r="J40"/>
      <c r="K40" t="s">
        <v>227</v>
      </c>
      <c r="L40"/>
      <c r="M40"/>
      <c r="N40"/>
      <c r="O40"/>
      <c r="P40"/>
      <c r="Q40"/>
      <c r="R40"/>
      <c r="S40"/>
      <c r="T40"/>
      <c r="U40"/>
      <c r="V40"/>
    </row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Z39"/>
  <sheetViews>
    <sheetView topLeftCell="A23" workbookViewId="0">
      <selection activeCell="N35" sqref="N35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233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52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54" t="s">
        <v>15</v>
      </c>
      <c r="K9" s="235"/>
      <c r="L9" s="153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53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5">
        <v>2587.36</v>
      </c>
      <c r="L11" s="60"/>
      <c r="M11" s="43">
        <v>0</v>
      </c>
      <c r="N11" s="62">
        <f t="shared" ref="N11:N34" si="0">K11+M11</f>
        <v>2587.36</v>
      </c>
      <c r="O11" s="62">
        <f t="shared" ref="O11:O34" si="1">+N11*0.1</f>
        <v>258.73600000000005</v>
      </c>
      <c r="P11" s="62">
        <f t="shared" ref="P11:P34" si="2">+N11*0.0171</f>
        <v>44.243856000000001</v>
      </c>
      <c r="Q11" s="62">
        <f t="shared" ref="Q11:Q34" si="3">+N11*0.005</f>
        <v>12.936800000000002</v>
      </c>
      <c r="R11" s="62">
        <f t="shared" ref="R11:R34" si="4">N11*0.5%</f>
        <v>12.936800000000002</v>
      </c>
      <c r="S11" s="43">
        <v>0</v>
      </c>
      <c r="T11" s="43">
        <f t="shared" ref="T11:T34" si="5">+O11+P11+Q11+R11+S11</f>
        <v>328.85345600000005</v>
      </c>
      <c r="U11" s="43">
        <f t="shared" ref="U11:U34" si="6">+N11-T11</f>
        <v>2258.5065439999998</v>
      </c>
      <c r="V11" s="55"/>
    </row>
    <row r="12" spans="1:24" ht="22.5" customHeight="1">
      <c r="A12" s="57">
        <v>2</v>
      </c>
      <c r="B12" s="56" t="s">
        <v>230</v>
      </c>
      <c r="C12" s="66" t="s">
        <v>231</v>
      </c>
      <c r="D12" s="55"/>
      <c r="E12" s="55"/>
      <c r="F12" s="123" t="s">
        <v>232</v>
      </c>
      <c r="G12" s="59">
        <v>45523</v>
      </c>
      <c r="H12" s="14">
        <v>5</v>
      </c>
      <c r="I12" s="45"/>
      <c r="J12" s="58">
        <v>30</v>
      </c>
      <c r="K12" s="155">
        <v>2500</v>
      </c>
      <c r="L12" s="60"/>
      <c r="M12" s="43">
        <v>0</v>
      </c>
      <c r="N12" s="62">
        <f t="shared" si="0"/>
        <v>2500</v>
      </c>
      <c r="O12" s="62">
        <f t="shared" si="1"/>
        <v>250</v>
      </c>
      <c r="P12" s="62">
        <f t="shared" si="2"/>
        <v>42.75</v>
      </c>
      <c r="Q12" s="62">
        <f t="shared" si="3"/>
        <v>12.5</v>
      </c>
      <c r="R12" s="62">
        <f t="shared" si="4"/>
        <v>12.5</v>
      </c>
      <c r="S12" s="43">
        <v>0</v>
      </c>
      <c r="T12" s="43">
        <f t="shared" si="5"/>
        <v>317.75</v>
      </c>
      <c r="U12" s="43">
        <f t="shared" si="6"/>
        <v>2182.25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185</v>
      </c>
      <c r="G13" s="59">
        <v>45518</v>
      </c>
      <c r="H13" s="14">
        <v>5</v>
      </c>
      <c r="I13" s="45"/>
      <c r="J13" s="58">
        <v>30</v>
      </c>
      <c r="K13" s="155">
        <v>3000</v>
      </c>
      <c r="L13" s="60"/>
      <c r="M13" s="43">
        <v>0</v>
      </c>
      <c r="N13" s="62">
        <f t="shared" si="0"/>
        <v>3000</v>
      </c>
      <c r="O13" s="62">
        <f t="shared" si="1"/>
        <v>300</v>
      </c>
      <c r="P13" s="62">
        <f t="shared" si="2"/>
        <v>51.300000000000004</v>
      </c>
      <c r="Q13" s="62">
        <f t="shared" si="3"/>
        <v>15</v>
      </c>
      <c r="R13" s="62">
        <f t="shared" si="4"/>
        <v>15</v>
      </c>
      <c r="S13" s="43">
        <v>0</v>
      </c>
      <c r="T13" s="43">
        <f t="shared" si="5"/>
        <v>381.3</v>
      </c>
      <c r="U13" s="43">
        <f t="shared" si="6"/>
        <v>2618.6999999999998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62">
        <f t="shared" si="1"/>
        <v>254.61599999999999</v>
      </c>
      <c r="P14" s="62">
        <f t="shared" si="2"/>
        <v>43.539335999999999</v>
      </c>
      <c r="Q14" s="62">
        <f t="shared" si="3"/>
        <v>12.7308</v>
      </c>
      <c r="R14" s="62">
        <f t="shared" si="4"/>
        <v>12.7308</v>
      </c>
      <c r="S14" s="43">
        <v>0</v>
      </c>
      <c r="T14" s="43">
        <f t="shared" si="5"/>
        <v>323.61693599999995</v>
      </c>
      <c r="U14" s="43">
        <f t="shared" si="6"/>
        <v>2222.543064</v>
      </c>
      <c r="V14" s="55"/>
    </row>
    <row r="15" spans="1:24" ht="22.5" customHeight="1">
      <c r="A15" s="57">
        <v>5</v>
      </c>
      <c r="B15" s="41" t="s">
        <v>44</v>
      </c>
      <c r="C15" s="41" t="s">
        <v>61</v>
      </c>
      <c r="D15" s="42"/>
      <c r="E15" s="14"/>
      <c r="F15" s="41" t="s">
        <v>49</v>
      </c>
      <c r="G15" s="59">
        <v>45323</v>
      </c>
      <c r="H15" s="63">
        <v>6</v>
      </c>
      <c r="I15" s="64"/>
      <c r="J15" s="14">
        <v>30</v>
      </c>
      <c r="K15" s="62">
        <v>4310.43</v>
      </c>
      <c r="L15" s="62"/>
      <c r="M15" s="43">
        <v>0</v>
      </c>
      <c r="N15" s="62">
        <f t="shared" si="0"/>
        <v>4310.43</v>
      </c>
      <c r="O15" s="62">
        <f t="shared" si="1"/>
        <v>431.04300000000006</v>
      </c>
      <c r="P15" s="62">
        <f t="shared" si="2"/>
        <v>73.708353000000002</v>
      </c>
      <c r="Q15" s="62">
        <f t="shared" si="3"/>
        <v>21.552150000000001</v>
      </c>
      <c r="R15" s="62">
        <f t="shared" si="4"/>
        <v>21.552150000000001</v>
      </c>
      <c r="S15" s="43">
        <v>0</v>
      </c>
      <c r="T15" s="43">
        <f t="shared" si="5"/>
        <v>547.85565300000007</v>
      </c>
      <c r="U15" s="43">
        <f t="shared" si="6"/>
        <v>3762.5743470000002</v>
      </c>
      <c r="V15" s="44"/>
      <c r="X15" s="45"/>
    </row>
    <row r="16" spans="1:24" ht="22.5" customHeight="1">
      <c r="A16" s="57">
        <v>6</v>
      </c>
      <c r="B16" s="41" t="s">
        <v>79</v>
      </c>
      <c r="C16" s="41" t="s">
        <v>80</v>
      </c>
      <c r="D16" s="42"/>
      <c r="E16" s="14"/>
      <c r="F16" s="41" t="s">
        <v>148</v>
      </c>
      <c r="G16" s="59">
        <v>45323</v>
      </c>
      <c r="H16" s="40">
        <v>5</v>
      </c>
      <c r="J16" s="15">
        <v>30</v>
      </c>
      <c r="K16" s="38">
        <v>4239.76</v>
      </c>
      <c r="L16" s="62"/>
      <c r="M16" s="43">
        <v>0</v>
      </c>
      <c r="N16" s="62">
        <f t="shared" si="0"/>
        <v>4239.76</v>
      </c>
      <c r="O16" s="62">
        <f t="shared" si="1"/>
        <v>423.97600000000006</v>
      </c>
      <c r="P16" s="62">
        <f t="shared" si="2"/>
        <v>72.499896000000007</v>
      </c>
      <c r="Q16" s="62">
        <f t="shared" si="3"/>
        <v>21.198800000000002</v>
      </c>
      <c r="R16" s="62">
        <f t="shared" si="4"/>
        <v>21.198800000000002</v>
      </c>
      <c r="S16" s="43">
        <v>0</v>
      </c>
      <c r="T16" s="43">
        <f t="shared" si="5"/>
        <v>538.87349600000005</v>
      </c>
      <c r="U16" s="43">
        <f t="shared" si="6"/>
        <v>3700.8865040000001</v>
      </c>
      <c r="V16" s="44"/>
      <c r="X16" s="45"/>
    </row>
    <row r="17" spans="1:24" ht="22.5" customHeight="1">
      <c r="A17" s="57">
        <v>7</v>
      </c>
      <c r="B17" s="110" t="s">
        <v>19</v>
      </c>
      <c r="C17" s="110" t="s">
        <v>20</v>
      </c>
      <c r="D17" s="42"/>
      <c r="E17" s="14"/>
      <c r="F17" s="41" t="s">
        <v>178</v>
      </c>
      <c r="G17" s="59">
        <v>45323</v>
      </c>
      <c r="H17" s="40">
        <v>5</v>
      </c>
      <c r="J17" s="15">
        <v>30</v>
      </c>
      <c r="K17" s="38">
        <v>3022.72</v>
      </c>
      <c r="L17" s="62"/>
      <c r="M17" s="43">
        <v>0</v>
      </c>
      <c r="N17" s="62">
        <f t="shared" si="0"/>
        <v>3022.72</v>
      </c>
      <c r="O17" s="62">
        <f t="shared" si="1"/>
        <v>302.27199999999999</v>
      </c>
      <c r="P17" s="62">
        <f t="shared" si="2"/>
        <v>51.688511999999996</v>
      </c>
      <c r="Q17" s="62">
        <f t="shared" si="3"/>
        <v>15.1136</v>
      </c>
      <c r="R17" s="62">
        <f t="shared" si="4"/>
        <v>15.1136</v>
      </c>
      <c r="S17" s="43">
        <v>0</v>
      </c>
      <c r="T17" s="43">
        <f t="shared" si="5"/>
        <v>384.18771200000003</v>
      </c>
      <c r="U17" s="43">
        <f t="shared" si="6"/>
        <v>2638.5322879999999</v>
      </c>
      <c r="V17" s="44"/>
      <c r="X17" s="45"/>
    </row>
    <row r="18" spans="1:24" ht="22.5" customHeight="1">
      <c r="A18" s="57">
        <v>8</v>
      </c>
      <c r="B18" s="110" t="s">
        <v>101</v>
      </c>
      <c r="C18" s="110" t="s">
        <v>102</v>
      </c>
      <c r="D18" s="119"/>
      <c r="E18" s="120" t="s">
        <v>180</v>
      </c>
      <c r="F18" s="121" t="s">
        <v>103</v>
      </c>
      <c r="G18" s="59">
        <v>45323</v>
      </c>
      <c r="H18" s="40">
        <v>5</v>
      </c>
      <c r="J18" s="15">
        <v>30</v>
      </c>
      <c r="K18" s="38">
        <v>3159.05</v>
      </c>
      <c r="L18" s="62"/>
      <c r="M18" s="43">
        <v>0</v>
      </c>
      <c r="N18" s="62">
        <f t="shared" si="0"/>
        <v>3159.05</v>
      </c>
      <c r="O18" s="62">
        <f t="shared" si="1"/>
        <v>315.90500000000003</v>
      </c>
      <c r="P18" s="62">
        <f t="shared" si="2"/>
        <v>54.019755000000004</v>
      </c>
      <c r="Q18" s="62">
        <f t="shared" si="3"/>
        <v>15.795250000000001</v>
      </c>
      <c r="R18" s="62">
        <f t="shared" si="4"/>
        <v>15.795250000000001</v>
      </c>
      <c r="S18" s="43">
        <v>0</v>
      </c>
      <c r="T18" s="43">
        <f t="shared" si="5"/>
        <v>401.51525500000002</v>
      </c>
      <c r="U18" s="43">
        <f t="shared" si="6"/>
        <v>2757.5347449999999</v>
      </c>
      <c r="V18" s="44"/>
      <c r="X18" s="45"/>
    </row>
    <row r="19" spans="1:24" ht="22.5" customHeight="1">
      <c r="A19" s="57">
        <v>9</v>
      </c>
      <c r="B19" s="41" t="s">
        <v>105</v>
      </c>
      <c r="C19" s="41" t="s">
        <v>104</v>
      </c>
      <c r="D19" s="42"/>
      <c r="E19" s="14"/>
      <c r="F19" s="41" t="s">
        <v>32</v>
      </c>
      <c r="G19" s="59">
        <v>45323</v>
      </c>
      <c r="H19" s="40">
        <v>5</v>
      </c>
      <c r="J19" s="15">
        <v>30</v>
      </c>
      <c r="K19" s="38">
        <v>2546.16</v>
      </c>
      <c r="L19" s="62"/>
      <c r="M19" s="43">
        <v>0</v>
      </c>
      <c r="N19" s="62">
        <f t="shared" si="0"/>
        <v>2546.16</v>
      </c>
      <c r="O19" s="62">
        <f t="shared" si="1"/>
        <v>254.61599999999999</v>
      </c>
      <c r="P19" s="62">
        <f t="shared" si="2"/>
        <v>43.539335999999999</v>
      </c>
      <c r="Q19" s="62">
        <f t="shared" si="3"/>
        <v>12.7308</v>
      </c>
      <c r="R19" s="62">
        <f t="shared" si="4"/>
        <v>12.7308</v>
      </c>
      <c r="S19" s="43">
        <v>0</v>
      </c>
      <c r="T19" s="43">
        <f t="shared" si="5"/>
        <v>323.61693599999995</v>
      </c>
      <c r="U19" s="43">
        <f t="shared" si="6"/>
        <v>2222.543064</v>
      </c>
      <c r="V19" s="44"/>
      <c r="X19" s="45"/>
    </row>
    <row r="20" spans="1:24" ht="22.5" customHeight="1">
      <c r="A20" s="57">
        <v>10</v>
      </c>
      <c r="B20" s="110" t="s">
        <v>69</v>
      </c>
      <c r="C20" s="111" t="s">
        <v>70</v>
      </c>
      <c r="D20" s="127"/>
      <c r="E20" s="128" t="s">
        <v>199</v>
      </c>
      <c r="F20" s="128" t="s">
        <v>199</v>
      </c>
      <c r="G20" s="59">
        <v>45323</v>
      </c>
      <c r="H20" s="40">
        <v>5</v>
      </c>
      <c r="J20" s="15">
        <v>30</v>
      </c>
      <c r="K20" s="38">
        <v>2652.25</v>
      </c>
      <c r="L20" s="62"/>
      <c r="M20" s="43">
        <v>0</v>
      </c>
      <c r="N20" s="62">
        <f t="shared" si="0"/>
        <v>2652.25</v>
      </c>
      <c r="O20" s="62">
        <f t="shared" si="1"/>
        <v>265.22500000000002</v>
      </c>
      <c r="P20" s="62">
        <f t="shared" si="2"/>
        <v>45.353475000000003</v>
      </c>
      <c r="Q20" s="62">
        <f t="shared" si="3"/>
        <v>13.26125</v>
      </c>
      <c r="R20" s="62">
        <f t="shared" si="4"/>
        <v>13.26125</v>
      </c>
      <c r="S20" s="43">
        <v>0</v>
      </c>
      <c r="T20" s="43">
        <f t="shared" si="5"/>
        <v>337.10097500000006</v>
      </c>
      <c r="U20" s="43">
        <f t="shared" si="6"/>
        <v>2315.1490249999997</v>
      </c>
      <c r="V20" s="44"/>
      <c r="X20" s="45"/>
    </row>
    <row r="21" spans="1:24" ht="22.5" customHeight="1">
      <c r="A21" s="57">
        <v>11</v>
      </c>
      <c r="B21" s="21" t="s">
        <v>85</v>
      </c>
      <c r="C21" s="21" t="s">
        <v>86</v>
      </c>
      <c r="D21" s="20"/>
      <c r="E21" s="22" t="s">
        <v>40</v>
      </c>
      <c r="F21" s="30" t="s">
        <v>40</v>
      </c>
      <c r="G21" s="59">
        <v>45323</v>
      </c>
      <c r="H21" s="14">
        <v>5</v>
      </c>
      <c r="I21" s="43">
        <v>2122</v>
      </c>
      <c r="J21" s="14">
        <v>30</v>
      </c>
      <c r="K21" s="62">
        <v>2500</v>
      </c>
      <c r="L21" s="62"/>
      <c r="M21" s="43">
        <v>0</v>
      </c>
      <c r="N21" s="62">
        <f t="shared" si="0"/>
        <v>2500</v>
      </c>
      <c r="O21" s="62">
        <f t="shared" si="1"/>
        <v>250</v>
      </c>
      <c r="P21" s="62">
        <f t="shared" si="2"/>
        <v>42.75</v>
      </c>
      <c r="Q21" s="62">
        <f t="shared" si="3"/>
        <v>12.5</v>
      </c>
      <c r="R21" s="62">
        <f t="shared" si="4"/>
        <v>12.5</v>
      </c>
      <c r="S21" s="43">
        <v>0</v>
      </c>
      <c r="T21" s="43">
        <f t="shared" si="5"/>
        <v>317.75</v>
      </c>
      <c r="U21" s="43">
        <f t="shared" si="6"/>
        <v>2182.25</v>
      </c>
      <c r="V21" s="44"/>
      <c r="X21" s="45"/>
    </row>
    <row r="22" spans="1:24" ht="22.5" customHeight="1">
      <c r="A22" s="57">
        <v>12</v>
      </c>
      <c r="B22" s="41" t="s">
        <v>45</v>
      </c>
      <c r="C22" s="41" t="s">
        <v>46</v>
      </c>
      <c r="D22" s="42"/>
      <c r="E22" s="14"/>
      <c r="F22" s="41" t="s">
        <v>47</v>
      </c>
      <c r="G22" s="30">
        <v>43101</v>
      </c>
      <c r="H22" s="63">
        <v>6</v>
      </c>
      <c r="I22" s="64"/>
      <c r="J22" s="14">
        <v>30</v>
      </c>
      <c r="K22" s="62">
        <v>2500</v>
      </c>
      <c r="L22" s="62"/>
      <c r="M22" s="43">
        <v>825</v>
      </c>
      <c r="N22" s="62">
        <f t="shared" si="0"/>
        <v>3325</v>
      </c>
      <c r="O22" s="62">
        <f t="shared" si="1"/>
        <v>332.5</v>
      </c>
      <c r="P22" s="62">
        <f t="shared" si="2"/>
        <v>56.857500000000002</v>
      </c>
      <c r="Q22" s="62">
        <f t="shared" si="3"/>
        <v>16.625</v>
      </c>
      <c r="R22" s="62">
        <f t="shared" si="4"/>
        <v>16.625</v>
      </c>
      <c r="S22" s="43">
        <v>0</v>
      </c>
      <c r="T22" s="43">
        <f t="shared" si="5"/>
        <v>422.60750000000002</v>
      </c>
      <c r="U22" s="43">
        <f>+N22-T22</f>
        <v>2902.3924999999999</v>
      </c>
      <c r="V22" s="44"/>
      <c r="X22" s="108"/>
    </row>
    <row r="23" spans="1:24" ht="22.5" customHeight="1">
      <c r="A23" s="57">
        <v>13</v>
      </c>
      <c r="B23" s="41" t="s">
        <v>31</v>
      </c>
      <c r="C23" s="41" t="s">
        <v>62</v>
      </c>
      <c r="D23" s="42"/>
      <c r="E23" s="14"/>
      <c r="F23" s="41" t="s">
        <v>32</v>
      </c>
      <c r="G23" s="59">
        <v>45323</v>
      </c>
      <c r="H23" s="40">
        <v>5</v>
      </c>
      <c r="J23" s="15">
        <v>30</v>
      </c>
      <c r="K23" s="38">
        <v>2724.85</v>
      </c>
      <c r="L23" s="62"/>
      <c r="M23" s="43">
        <v>0</v>
      </c>
      <c r="N23" s="62">
        <f t="shared" si="0"/>
        <v>2724.85</v>
      </c>
      <c r="O23" s="62">
        <f t="shared" si="1"/>
        <v>272.48500000000001</v>
      </c>
      <c r="P23" s="62">
        <f t="shared" si="2"/>
        <v>46.594935</v>
      </c>
      <c r="Q23" s="62">
        <f t="shared" si="3"/>
        <v>13.62425</v>
      </c>
      <c r="R23" s="62">
        <f t="shared" si="4"/>
        <v>13.62425</v>
      </c>
      <c r="S23" s="43">
        <v>0</v>
      </c>
      <c r="T23" s="43">
        <f t="shared" si="5"/>
        <v>346.32843500000007</v>
      </c>
      <c r="U23" s="43">
        <f t="shared" si="6"/>
        <v>2378.521565</v>
      </c>
      <c r="V23" s="44"/>
      <c r="X23" s="45"/>
    </row>
    <row r="24" spans="1:24" ht="22.5" customHeight="1">
      <c r="A24" s="57">
        <v>14</v>
      </c>
      <c r="B24" s="110" t="s">
        <v>149</v>
      </c>
      <c r="C24" s="111" t="s">
        <v>150</v>
      </c>
      <c r="D24" s="42"/>
      <c r="E24" s="14"/>
      <c r="F24" s="112" t="s">
        <v>36</v>
      </c>
      <c r="G24" s="59">
        <v>45323</v>
      </c>
      <c r="H24" s="40">
        <v>4</v>
      </c>
      <c r="J24" s="15">
        <v>30</v>
      </c>
      <c r="K24" s="38">
        <v>2500</v>
      </c>
      <c r="L24" s="62"/>
      <c r="M24" s="43">
        <v>0</v>
      </c>
      <c r="N24" s="62">
        <f t="shared" si="0"/>
        <v>2500</v>
      </c>
      <c r="O24" s="62">
        <f t="shared" si="1"/>
        <v>250</v>
      </c>
      <c r="P24" s="62">
        <f t="shared" si="2"/>
        <v>42.75</v>
      </c>
      <c r="Q24" s="62">
        <f t="shared" si="3"/>
        <v>12.5</v>
      </c>
      <c r="R24" s="62">
        <f t="shared" si="4"/>
        <v>12.5</v>
      </c>
      <c r="S24" s="43">
        <v>0</v>
      </c>
      <c r="T24" s="43">
        <f t="shared" si="5"/>
        <v>317.75</v>
      </c>
      <c r="U24" s="43">
        <f t="shared" si="6"/>
        <v>2182.25</v>
      </c>
      <c r="V24" s="44"/>
      <c r="X24" s="45"/>
    </row>
    <row r="25" spans="1:24" ht="22.5" customHeight="1">
      <c r="A25" s="57">
        <v>15</v>
      </c>
      <c r="B25" s="41" t="s">
        <v>52</v>
      </c>
      <c r="C25" s="41" t="s">
        <v>128</v>
      </c>
      <c r="D25" s="42"/>
      <c r="E25" s="14"/>
      <c r="F25" s="41" t="s">
        <v>40</v>
      </c>
      <c r="G25" s="59">
        <v>45323</v>
      </c>
      <c r="H25" s="40">
        <v>5</v>
      </c>
      <c r="J25" s="15">
        <v>30</v>
      </c>
      <c r="K25" s="38">
        <v>2503.67</v>
      </c>
      <c r="L25" s="62"/>
      <c r="M25" s="43">
        <v>0</v>
      </c>
      <c r="N25" s="62">
        <f t="shared" si="0"/>
        <v>2503.67</v>
      </c>
      <c r="O25" s="62">
        <f t="shared" si="1"/>
        <v>250.36700000000002</v>
      </c>
      <c r="P25" s="62">
        <f t="shared" si="2"/>
        <v>42.812757000000005</v>
      </c>
      <c r="Q25" s="62">
        <f t="shared" si="3"/>
        <v>12.51835</v>
      </c>
      <c r="R25" s="62">
        <f t="shared" si="4"/>
        <v>12.51835</v>
      </c>
      <c r="S25" s="43">
        <v>0</v>
      </c>
      <c r="T25" s="43">
        <f t="shared" si="5"/>
        <v>318.21645699999999</v>
      </c>
      <c r="U25" s="43">
        <f t="shared" si="6"/>
        <v>2185.4535430000001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45323</v>
      </c>
      <c r="H26" s="63">
        <v>5</v>
      </c>
      <c r="I26" s="64"/>
      <c r="J26" s="14">
        <v>30</v>
      </c>
      <c r="K26" s="62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45323</v>
      </c>
      <c r="H28" s="40">
        <v>4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62">
        <f t="shared" si="1"/>
        <v>250</v>
      </c>
      <c r="P28" s="62">
        <f t="shared" si="2"/>
        <v>42.75</v>
      </c>
      <c r="Q28" s="62">
        <f t="shared" si="3"/>
        <v>12.5</v>
      </c>
      <c r="R28" s="62">
        <f t="shared" si="4"/>
        <v>12.5</v>
      </c>
      <c r="S28" s="43">
        <v>0</v>
      </c>
      <c r="T28" s="43">
        <f t="shared" si="5"/>
        <v>317.75</v>
      </c>
      <c r="U28" s="43">
        <f t="shared" si="6"/>
        <v>2182.25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 t="shared" si="0"/>
        <v>2546.16</v>
      </c>
      <c r="O29" s="62">
        <f t="shared" si="1"/>
        <v>254.61599999999999</v>
      </c>
      <c r="P29" s="62">
        <f t="shared" si="2"/>
        <v>43.539335999999999</v>
      </c>
      <c r="Q29" s="62">
        <f t="shared" si="3"/>
        <v>12.7308</v>
      </c>
      <c r="R29" s="62">
        <f t="shared" si="4"/>
        <v>12.7308</v>
      </c>
      <c r="S29" s="43">
        <v>0</v>
      </c>
      <c r="T29" s="43">
        <f t="shared" si="5"/>
        <v>323.61693599999995</v>
      </c>
      <c r="U29" s="43">
        <f t="shared" si="6"/>
        <v>2222.543064</v>
      </c>
      <c r="V29" s="44"/>
      <c r="X29" s="45"/>
    </row>
    <row r="30" spans="1:24" ht="22.5" customHeight="1">
      <c r="A30" s="57">
        <v>20</v>
      </c>
      <c r="B30" s="41" t="s">
        <v>41</v>
      </c>
      <c r="C30" s="41" t="s">
        <v>72</v>
      </c>
      <c r="D30" s="42"/>
      <c r="E30" s="14"/>
      <c r="F30" s="41" t="s">
        <v>73</v>
      </c>
      <c r="G30" s="59">
        <v>45323</v>
      </c>
      <c r="H30" s="40">
        <v>5</v>
      </c>
      <c r="J30" s="15">
        <v>30</v>
      </c>
      <c r="K30" s="38">
        <v>2546.16</v>
      </c>
      <c r="L30" s="62"/>
      <c r="M30" s="43">
        <v>0</v>
      </c>
      <c r="N30" s="62">
        <f>K30+M30</f>
        <v>2546.16</v>
      </c>
      <c r="O30" s="62">
        <f>+N30*0.1</f>
        <v>254.61599999999999</v>
      </c>
      <c r="P30" s="62">
        <f>+N30*0.0171</f>
        <v>43.539335999999999</v>
      </c>
      <c r="Q30" s="62">
        <f>+N30*0.005</f>
        <v>12.7308</v>
      </c>
      <c r="R30" s="62">
        <f>N30*0.5%</f>
        <v>12.7308</v>
      </c>
      <c r="S30" s="43">
        <v>0</v>
      </c>
      <c r="T30" s="43">
        <f>+O30+P30+Q30+R30+S30</f>
        <v>323.61693599999995</v>
      </c>
      <c r="U30" s="43">
        <f>+N30-T30</f>
        <v>2222.543064</v>
      </c>
      <c r="V30" s="44"/>
      <c r="X30" s="45"/>
    </row>
    <row r="31" spans="1:24" ht="22.5" customHeight="1">
      <c r="A31" s="57">
        <v>21</v>
      </c>
      <c r="B31" s="70" t="s">
        <v>50</v>
      </c>
      <c r="C31" s="70" t="s">
        <v>66</v>
      </c>
      <c r="D31" s="71"/>
      <c r="E31" s="72"/>
      <c r="F31" s="70" t="s">
        <v>51</v>
      </c>
      <c r="G31" s="59">
        <v>45323</v>
      </c>
      <c r="H31" s="74">
        <v>5</v>
      </c>
      <c r="J31" s="75">
        <v>30</v>
      </c>
      <c r="K31" s="38">
        <v>2614.89</v>
      </c>
      <c r="L31" s="62"/>
      <c r="M31" s="43">
        <v>0</v>
      </c>
      <c r="N31" s="62">
        <f t="shared" si="0"/>
        <v>2614.89</v>
      </c>
      <c r="O31" s="62">
        <f t="shared" si="1"/>
        <v>261.48899999999998</v>
      </c>
      <c r="P31" s="62">
        <f t="shared" si="2"/>
        <v>44.714618999999999</v>
      </c>
      <c r="Q31" s="62">
        <f t="shared" si="3"/>
        <v>13.074449999999999</v>
      </c>
      <c r="R31" s="62">
        <f t="shared" si="4"/>
        <v>13.074449999999999</v>
      </c>
      <c r="S31" s="43">
        <v>0</v>
      </c>
      <c r="T31" s="43">
        <f t="shared" si="5"/>
        <v>332.35251900000003</v>
      </c>
      <c r="U31" s="43">
        <f t="shared" si="6"/>
        <v>2282.5374809999998</v>
      </c>
      <c r="V31" s="44"/>
      <c r="X31" s="45"/>
    </row>
    <row r="32" spans="1:24" ht="22.5" customHeight="1">
      <c r="A32" s="57">
        <v>22</v>
      </c>
      <c r="B32" s="41" t="s">
        <v>183</v>
      </c>
      <c r="C32" s="41" t="s">
        <v>184</v>
      </c>
      <c r="D32" s="42"/>
      <c r="E32" s="14"/>
      <c r="F32" s="123" t="s">
        <v>215</v>
      </c>
      <c r="G32" s="59">
        <v>45323</v>
      </c>
      <c r="H32" s="122">
        <v>5</v>
      </c>
      <c r="I32" s="15">
        <v>30</v>
      </c>
      <c r="J32" s="75">
        <v>30</v>
      </c>
      <c r="K32" s="68">
        <v>2939.05</v>
      </c>
      <c r="L32" s="69"/>
      <c r="M32" s="43">
        <v>0</v>
      </c>
      <c r="N32" s="62">
        <f t="shared" si="0"/>
        <v>2939.05</v>
      </c>
      <c r="O32" s="62">
        <f t="shared" si="1"/>
        <v>293.90500000000003</v>
      </c>
      <c r="P32" s="62">
        <f t="shared" si="2"/>
        <v>50.257755000000003</v>
      </c>
      <c r="Q32" s="62">
        <f t="shared" si="3"/>
        <v>14.695250000000001</v>
      </c>
      <c r="R32" s="62">
        <f t="shared" si="4"/>
        <v>14.695250000000001</v>
      </c>
      <c r="S32" s="43">
        <v>0</v>
      </c>
      <c r="T32" s="43">
        <f t="shared" si="5"/>
        <v>373.55325500000004</v>
      </c>
      <c r="U32" s="43">
        <f t="shared" si="6"/>
        <v>2565.4967450000004</v>
      </c>
      <c r="V32" s="44"/>
      <c r="X32" s="45"/>
    </row>
    <row r="33" spans="1:26" ht="22.5" customHeight="1">
      <c r="A33" s="57">
        <v>23</v>
      </c>
      <c r="B33" s="41" t="s">
        <v>43</v>
      </c>
      <c r="C33" s="41" t="s">
        <v>124</v>
      </c>
      <c r="D33" s="42"/>
      <c r="E33" s="14"/>
      <c r="F33" s="41" t="s">
        <v>36</v>
      </c>
      <c r="G33" s="59">
        <v>45323</v>
      </c>
      <c r="H33" s="40">
        <v>4</v>
      </c>
      <c r="I33" s="76"/>
      <c r="J33" s="75">
        <v>30</v>
      </c>
      <c r="K33" s="68">
        <v>2500</v>
      </c>
      <c r="L33" s="69"/>
      <c r="M33" s="43">
        <v>0</v>
      </c>
      <c r="N33" s="62">
        <f t="shared" si="0"/>
        <v>2500</v>
      </c>
      <c r="O33" s="62">
        <f t="shared" si="1"/>
        <v>250</v>
      </c>
      <c r="P33" s="62">
        <f t="shared" si="2"/>
        <v>42.75</v>
      </c>
      <c r="Q33" s="62">
        <f t="shared" si="3"/>
        <v>12.5</v>
      </c>
      <c r="R33" s="62">
        <f t="shared" si="4"/>
        <v>12.5</v>
      </c>
      <c r="S33" s="43">
        <v>0</v>
      </c>
      <c r="T33" s="43">
        <f t="shared" si="5"/>
        <v>317.75</v>
      </c>
      <c r="U33" s="43">
        <f t="shared" si="6"/>
        <v>2182.25</v>
      </c>
      <c r="V33" s="44"/>
      <c r="X33" s="45"/>
    </row>
    <row r="34" spans="1:26" ht="22.5" customHeight="1">
      <c r="A34" s="57">
        <v>24</v>
      </c>
      <c r="B34" s="41" t="s">
        <v>37</v>
      </c>
      <c r="C34" s="41" t="s">
        <v>38</v>
      </c>
      <c r="D34" s="42"/>
      <c r="E34" s="14"/>
      <c r="F34" s="41" t="s">
        <v>34</v>
      </c>
      <c r="G34" s="59">
        <v>45323</v>
      </c>
      <c r="H34" s="40">
        <v>5</v>
      </c>
      <c r="I34" s="76"/>
      <c r="J34" s="75">
        <v>30</v>
      </c>
      <c r="K34" s="68">
        <v>2500</v>
      </c>
      <c r="L34" s="69"/>
      <c r="M34" s="43">
        <v>0</v>
      </c>
      <c r="N34" s="62">
        <f t="shared" si="0"/>
        <v>2500</v>
      </c>
      <c r="O34" s="62">
        <f t="shared" si="1"/>
        <v>250</v>
      </c>
      <c r="P34" s="62">
        <f t="shared" si="2"/>
        <v>42.75</v>
      </c>
      <c r="Q34" s="62">
        <f t="shared" si="3"/>
        <v>12.5</v>
      </c>
      <c r="R34" s="62">
        <f t="shared" si="4"/>
        <v>12.5</v>
      </c>
      <c r="S34" s="43">
        <v>0</v>
      </c>
      <c r="T34" s="43">
        <f t="shared" si="5"/>
        <v>317.75</v>
      </c>
      <c r="U34" s="43">
        <f t="shared" si="6"/>
        <v>2182.25</v>
      </c>
      <c r="V34" s="44"/>
      <c r="X34" s="45"/>
    </row>
    <row r="35" spans="1:26" s="18" customFormat="1" ht="21" customHeight="1">
      <c r="A35" s="33"/>
      <c r="B35" s="34"/>
      <c r="C35" s="35" t="s">
        <v>22</v>
      </c>
      <c r="D35" s="34"/>
      <c r="E35" s="36"/>
      <c r="F35" s="34"/>
      <c r="G35" s="34"/>
      <c r="H35" s="65"/>
      <c r="I35" s="65"/>
      <c r="J35" s="37"/>
      <c r="K35" s="32">
        <f>SUM(K11:K34)</f>
        <v>66438.67</v>
      </c>
      <c r="L35" s="32"/>
      <c r="M35" s="32">
        <f t="shared" ref="M35" si="7">SUM(M15:M31)</f>
        <v>825</v>
      </c>
      <c r="N35" s="32">
        <f>SUM(N11:N34)</f>
        <v>67263.67</v>
      </c>
      <c r="O35" s="32">
        <f>SUM(O11:O34)</f>
        <v>6726.3670000000002</v>
      </c>
      <c r="P35" s="32">
        <f>SUM(P11:P34)</f>
        <v>1150.2087570000001</v>
      </c>
      <c r="Q35" s="32">
        <f>SUM(Q11:Q34)</f>
        <v>336.31834999999995</v>
      </c>
      <c r="R35" s="32">
        <f>SUM(R11:R34)</f>
        <v>336.31834999999995</v>
      </c>
      <c r="S35" s="32">
        <f>SUM(S15:S34)</f>
        <v>0</v>
      </c>
      <c r="T35" s="32">
        <f>SUM(T11:T34)</f>
        <v>8549.2124570000015</v>
      </c>
      <c r="U35" s="32">
        <f>SUM(U11:U34)</f>
        <v>58714.457542999997</v>
      </c>
      <c r="V35" s="19"/>
    </row>
    <row r="36" spans="1:26" s="18" customFormat="1" ht="9.75" customHeigh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23">
        <f>SUM(T35:T35)</f>
        <v>8549.2124570000015</v>
      </c>
      <c r="U36" s="23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 s="46"/>
      <c r="O37"/>
      <c r="P37"/>
      <c r="Q37"/>
      <c r="R37"/>
      <c r="S37"/>
      <c r="T37"/>
      <c r="U37"/>
      <c r="V37"/>
      <c r="Y37"/>
      <c r="Z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6" s="18" customFormat="1">
      <c r="A39"/>
      <c r="B39"/>
      <c r="C39"/>
      <c r="D39"/>
      <c r="E39" s="9"/>
      <c r="F39"/>
      <c r="G39"/>
      <c r="H39"/>
      <c r="I39"/>
      <c r="J39"/>
      <c r="K39" t="s">
        <v>234</v>
      </c>
      <c r="L39"/>
      <c r="M39"/>
      <c r="N39"/>
      <c r="O39"/>
      <c r="P39"/>
      <c r="Q39"/>
      <c r="R39"/>
      <c r="S39"/>
      <c r="T39"/>
      <c r="U39"/>
      <c r="V39"/>
    </row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Z39"/>
  <sheetViews>
    <sheetView topLeftCell="A2" workbookViewId="0">
      <selection activeCell="K40" sqref="K40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235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5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56" t="s">
        <v>15</v>
      </c>
      <c r="K9" s="235"/>
      <c r="L9" s="15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5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5">
        <v>2587.36</v>
      </c>
      <c r="L11" s="60"/>
      <c r="M11" s="43">
        <v>0</v>
      </c>
      <c r="N11" s="62">
        <f t="shared" ref="N11:N34" si="0">K11+M11</f>
        <v>2587.36</v>
      </c>
      <c r="O11" s="62">
        <f t="shared" ref="O11:O34" si="1">+N11*0.1</f>
        <v>258.73600000000005</v>
      </c>
      <c r="P11" s="62">
        <f t="shared" ref="P11:P34" si="2">+N11*0.0171</f>
        <v>44.243856000000001</v>
      </c>
      <c r="Q11" s="62">
        <f t="shared" ref="Q11:Q34" si="3">+N11*0.005</f>
        <v>12.936800000000002</v>
      </c>
      <c r="R11" s="62">
        <f t="shared" ref="R11:R34" si="4">N11*0.5%</f>
        <v>12.936800000000002</v>
      </c>
      <c r="S11" s="43">
        <v>0</v>
      </c>
      <c r="T11" s="43">
        <f t="shared" ref="T11:T34" si="5">+O11+P11+Q11+R11+S11</f>
        <v>328.85345600000005</v>
      </c>
      <c r="U11" s="43">
        <f t="shared" ref="U11:U34" si="6">+N11-T11</f>
        <v>2258.5065439999998</v>
      </c>
      <c r="V11" s="55"/>
    </row>
    <row r="12" spans="1:24" ht="22.5" customHeight="1">
      <c r="A12" s="57">
        <v>2</v>
      </c>
      <c r="B12" s="56" t="s">
        <v>230</v>
      </c>
      <c r="C12" s="66" t="s">
        <v>231</v>
      </c>
      <c r="D12" s="55"/>
      <c r="E12" s="55"/>
      <c r="F12" s="123" t="s">
        <v>232</v>
      </c>
      <c r="G12" s="59">
        <v>45523</v>
      </c>
      <c r="H12" s="14">
        <v>5</v>
      </c>
      <c r="I12" s="45"/>
      <c r="J12" s="58">
        <v>30</v>
      </c>
      <c r="K12" s="155">
        <v>2500</v>
      </c>
      <c r="L12" s="60"/>
      <c r="M12" s="43">
        <v>0</v>
      </c>
      <c r="N12" s="62">
        <f t="shared" si="0"/>
        <v>2500</v>
      </c>
      <c r="O12" s="62">
        <f t="shared" si="1"/>
        <v>250</v>
      </c>
      <c r="P12" s="62">
        <f t="shared" si="2"/>
        <v>42.75</v>
      </c>
      <c r="Q12" s="62">
        <f t="shared" si="3"/>
        <v>12.5</v>
      </c>
      <c r="R12" s="62">
        <f t="shared" si="4"/>
        <v>12.5</v>
      </c>
      <c r="S12" s="43">
        <v>0</v>
      </c>
      <c r="T12" s="43">
        <f t="shared" si="5"/>
        <v>317.75</v>
      </c>
      <c r="U12" s="43">
        <f t="shared" si="6"/>
        <v>2182.25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185</v>
      </c>
      <c r="G13" s="59">
        <v>45518</v>
      </c>
      <c r="H13" s="14">
        <v>5</v>
      </c>
      <c r="I13" s="45"/>
      <c r="J13" s="58">
        <v>30</v>
      </c>
      <c r="K13" s="155">
        <v>3000</v>
      </c>
      <c r="L13" s="60"/>
      <c r="M13" s="43">
        <v>0</v>
      </c>
      <c r="N13" s="62">
        <f t="shared" si="0"/>
        <v>3000</v>
      </c>
      <c r="O13" s="62">
        <f t="shared" si="1"/>
        <v>300</v>
      </c>
      <c r="P13" s="62">
        <f t="shared" si="2"/>
        <v>51.300000000000004</v>
      </c>
      <c r="Q13" s="62">
        <f t="shared" si="3"/>
        <v>15</v>
      </c>
      <c r="R13" s="62">
        <f t="shared" si="4"/>
        <v>15</v>
      </c>
      <c r="S13" s="43">
        <v>0</v>
      </c>
      <c r="T13" s="43">
        <f t="shared" si="5"/>
        <v>381.3</v>
      </c>
      <c r="U13" s="43">
        <f t="shared" si="6"/>
        <v>2618.6999999999998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62">
        <f t="shared" si="1"/>
        <v>254.61599999999999</v>
      </c>
      <c r="P14" s="62">
        <f t="shared" si="2"/>
        <v>43.539335999999999</v>
      </c>
      <c r="Q14" s="62">
        <f t="shared" si="3"/>
        <v>12.7308</v>
      </c>
      <c r="R14" s="62">
        <f t="shared" si="4"/>
        <v>12.7308</v>
      </c>
      <c r="S14" s="43">
        <v>0</v>
      </c>
      <c r="T14" s="43">
        <f t="shared" si="5"/>
        <v>323.61693599999995</v>
      </c>
      <c r="U14" s="43">
        <f t="shared" si="6"/>
        <v>2222.543064</v>
      </c>
      <c r="V14" s="55"/>
    </row>
    <row r="15" spans="1:24" ht="22.5" customHeight="1">
      <c r="A15" s="57">
        <v>5</v>
      </c>
      <c r="B15" s="41" t="s">
        <v>44</v>
      </c>
      <c r="C15" s="41" t="s">
        <v>61</v>
      </c>
      <c r="D15" s="42"/>
      <c r="E15" s="14"/>
      <c r="F15" s="41" t="s">
        <v>49</v>
      </c>
      <c r="G15" s="59">
        <v>45323</v>
      </c>
      <c r="H15" s="63">
        <v>6</v>
      </c>
      <c r="I15" s="64"/>
      <c r="J15" s="14">
        <v>30</v>
      </c>
      <c r="K15" s="62">
        <v>4310.43</v>
      </c>
      <c r="L15" s="62"/>
      <c r="M15" s="43">
        <v>0</v>
      </c>
      <c r="N15" s="62">
        <f t="shared" si="0"/>
        <v>4310.43</v>
      </c>
      <c r="O15" s="62">
        <f t="shared" si="1"/>
        <v>431.04300000000006</v>
      </c>
      <c r="P15" s="62">
        <f t="shared" si="2"/>
        <v>73.708353000000002</v>
      </c>
      <c r="Q15" s="62">
        <f t="shared" si="3"/>
        <v>21.552150000000001</v>
      </c>
      <c r="R15" s="62">
        <f t="shared" si="4"/>
        <v>21.552150000000001</v>
      </c>
      <c r="S15" s="43">
        <v>0</v>
      </c>
      <c r="T15" s="43">
        <f t="shared" si="5"/>
        <v>547.85565300000007</v>
      </c>
      <c r="U15" s="43">
        <f t="shared" si="6"/>
        <v>3762.5743470000002</v>
      </c>
      <c r="V15" s="44"/>
      <c r="X15" s="45"/>
    </row>
    <row r="16" spans="1:24" ht="22.5" customHeight="1">
      <c r="A16" s="57">
        <v>6</v>
      </c>
      <c r="B16" s="41" t="s">
        <v>79</v>
      </c>
      <c r="C16" s="41" t="s">
        <v>80</v>
      </c>
      <c r="D16" s="42"/>
      <c r="E16" s="14"/>
      <c r="F16" s="41" t="s">
        <v>148</v>
      </c>
      <c r="G16" s="59">
        <v>45323</v>
      </c>
      <c r="H16" s="40">
        <v>5</v>
      </c>
      <c r="J16" s="15">
        <v>30</v>
      </c>
      <c r="K16" s="38">
        <v>4239.76</v>
      </c>
      <c r="L16" s="62"/>
      <c r="M16" s="43">
        <v>0</v>
      </c>
      <c r="N16" s="62">
        <f t="shared" si="0"/>
        <v>4239.76</v>
      </c>
      <c r="O16" s="62">
        <f t="shared" si="1"/>
        <v>423.97600000000006</v>
      </c>
      <c r="P16" s="62">
        <f t="shared" si="2"/>
        <v>72.499896000000007</v>
      </c>
      <c r="Q16" s="62">
        <f t="shared" si="3"/>
        <v>21.198800000000002</v>
      </c>
      <c r="R16" s="62">
        <f t="shared" si="4"/>
        <v>21.198800000000002</v>
      </c>
      <c r="S16" s="43">
        <v>0</v>
      </c>
      <c r="T16" s="43">
        <f t="shared" si="5"/>
        <v>538.87349600000005</v>
      </c>
      <c r="U16" s="43">
        <f t="shared" si="6"/>
        <v>3700.8865040000001</v>
      </c>
      <c r="V16" s="44"/>
      <c r="X16" s="45"/>
    </row>
    <row r="17" spans="1:24" ht="22.5" customHeight="1">
      <c r="A17" s="57">
        <v>7</v>
      </c>
      <c r="B17" s="110" t="s">
        <v>19</v>
      </c>
      <c r="C17" s="110" t="s">
        <v>20</v>
      </c>
      <c r="D17" s="42"/>
      <c r="E17" s="14"/>
      <c r="F17" s="41" t="s">
        <v>178</v>
      </c>
      <c r="G17" s="59">
        <v>45323</v>
      </c>
      <c r="H17" s="40">
        <v>5</v>
      </c>
      <c r="J17" s="15">
        <v>30</v>
      </c>
      <c r="K17" s="38">
        <v>3022.72</v>
      </c>
      <c r="L17" s="62"/>
      <c r="M17" s="43">
        <v>0</v>
      </c>
      <c r="N17" s="62">
        <f t="shared" si="0"/>
        <v>3022.72</v>
      </c>
      <c r="O17" s="62">
        <f t="shared" si="1"/>
        <v>302.27199999999999</v>
      </c>
      <c r="P17" s="62">
        <f t="shared" si="2"/>
        <v>51.688511999999996</v>
      </c>
      <c r="Q17" s="62">
        <f t="shared" si="3"/>
        <v>15.1136</v>
      </c>
      <c r="R17" s="62">
        <f t="shared" si="4"/>
        <v>15.1136</v>
      </c>
      <c r="S17" s="43">
        <v>0</v>
      </c>
      <c r="T17" s="43">
        <f t="shared" si="5"/>
        <v>384.18771200000003</v>
      </c>
      <c r="U17" s="43">
        <f t="shared" si="6"/>
        <v>2638.5322879999999</v>
      </c>
      <c r="V17" s="44"/>
      <c r="X17" s="45"/>
    </row>
    <row r="18" spans="1:24" ht="22.5" customHeight="1">
      <c r="A18" s="57">
        <v>8</v>
      </c>
      <c r="B18" s="110" t="s">
        <v>101</v>
      </c>
      <c r="C18" s="110" t="s">
        <v>102</v>
      </c>
      <c r="D18" s="119"/>
      <c r="E18" s="120" t="s">
        <v>180</v>
      </c>
      <c r="F18" s="121" t="s">
        <v>103</v>
      </c>
      <c r="G18" s="59">
        <v>45323</v>
      </c>
      <c r="H18" s="40">
        <v>5</v>
      </c>
      <c r="J18" s="15">
        <v>30</v>
      </c>
      <c r="K18" s="38">
        <v>3159.05</v>
      </c>
      <c r="L18" s="62"/>
      <c r="M18" s="43">
        <v>0</v>
      </c>
      <c r="N18" s="62">
        <f t="shared" si="0"/>
        <v>3159.05</v>
      </c>
      <c r="O18" s="62">
        <f t="shared" si="1"/>
        <v>315.90500000000003</v>
      </c>
      <c r="P18" s="62">
        <f t="shared" si="2"/>
        <v>54.019755000000004</v>
      </c>
      <c r="Q18" s="62">
        <f t="shared" si="3"/>
        <v>15.795250000000001</v>
      </c>
      <c r="R18" s="62">
        <f t="shared" si="4"/>
        <v>15.795250000000001</v>
      </c>
      <c r="S18" s="43">
        <v>0</v>
      </c>
      <c r="T18" s="43">
        <f t="shared" si="5"/>
        <v>401.51525500000002</v>
      </c>
      <c r="U18" s="43">
        <f t="shared" si="6"/>
        <v>2757.5347449999999</v>
      </c>
      <c r="V18" s="44"/>
      <c r="X18" s="45"/>
    </row>
    <row r="19" spans="1:24" ht="22.5" customHeight="1">
      <c r="A19" s="57">
        <v>9</v>
      </c>
      <c r="B19" s="41" t="s">
        <v>105</v>
      </c>
      <c r="C19" s="41" t="s">
        <v>104</v>
      </c>
      <c r="D19" s="42"/>
      <c r="E19" s="14"/>
      <c r="F19" s="41" t="s">
        <v>32</v>
      </c>
      <c r="G19" s="59">
        <v>45323</v>
      </c>
      <c r="H19" s="40">
        <v>5</v>
      </c>
      <c r="J19" s="15">
        <v>30</v>
      </c>
      <c r="K19" s="38">
        <v>2546.16</v>
      </c>
      <c r="L19" s="62"/>
      <c r="M19" s="43">
        <v>0</v>
      </c>
      <c r="N19" s="62">
        <f t="shared" si="0"/>
        <v>2546.16</v>
      </c>
      <c r="O19" s="62">
        <f t="shared" si="1"/>
        <v>254.61599999999999</v>
      </c>
      <c r="P19" s="62">
        <f t="shared" si="2"/>
        <v>43.539335999999999</v>
      </c>
      <c r="Q19" s="62">
        <f t="shared" si="3"/>
        <v>12.7308</v>
      </c>
      <c r="R19" s="62">
        <f t="shared" si="4"/>
        <v>12.7308</v>
      </c>
      <c r="S19" s="43">
        <v>0</v>
      </c>
      <c r="T19" s="43">
        <f t="shared" si="5"/>
        <v>323.61693599999995</v>
      </c>
      <c r="U19" s="43">
        <f t="shared" si="6"/>
        <v>2222.543064</v>
      </c>
      <c r="V19" s="44"/>
      <c r="X19" s="45"/>
    </row>
    <row r="20" spans="1:24" ht="22.5" customHeight="1">
      <c r="A20" s="57">
        <v>10</v>
      </c>
      <c r="B20" s="110" t="s">
        <v>69</v>
      </c>
      <c r="C20" s="111" t="s">
        <v>70</v>
      </c>
      <c r="D20" s="127"/>
      <c r="E20" s="128" t="s">
        <v>199</v>
      </c>
      <c r="F20" s="128" t="s">
        <v>199</v>
      </c>
      <c r="G20" s="59">
        <v>45323</v>
      </c>
      <c r="H20" s="40">
        <v>5</v>
      </c>
      <c r="J20" s="15">
        <v>30</v>
      </c>
      <c r="K20" s="38">
        <v>2652.25</v>
      </c>
      <c r="L20" s="62"/>
      <c r="M20" s="43">
        <v>0</v>
      </c>
      <c r="N20" s="62">
        <f t="shared" si="0"/>
        <v>2652.25</v>
      </c>
      <c r="O20" s="62">
        <f t="shared" si="1"/>
        <v>265.22500000000002</v>
      </c>
      <c r="P20" s="62">
        <f t="shared" si="2"/>
        <v>45.353475000000003</v>
      </c>
      <c r="Q20" s="62">
        <f t="shared" si="3"/>
        <v>13.26125</v>
      </c>
      <c r="R20" s="62">
        <f t="shared" si="4"/>
        <v>13.26125</v>
      </c>
      <c r="S20" s="43">
        <v>0</v>
      </c>
      <c r="T20" s="43">
        <f t="shared" si="5"/>
        <v>337.10097500000006</v>
      </c>
      <c r="U20" s="43">
        <f t="shared" si="6"/>
        <v>2315.1490249999997</v>
      </c>
      <c r="V20" s="44"/>
      <c r="X20" s="45"/>
    </row>
    <row r="21" spans="1:24" ht="22.5" customHeight="1">
      <c r="A21" s="57">
        <v>11</v>
      </c>
      <c r="B21" s="21" t="s">
        <v>85</v>
      </c>
      <c r="C21" s="21" t="s">
        <v>86</v>
      </c>
      <c r="D21" s="20"/>
      <c r="E21" s="22" t="s">
        <v>40</v>
      </c>
      <c r="F21" s="30" t="s">
        <v>40</v>
      </c>
      <c r="G21" s="59">
        <v>45323</v>
      </c>
      <c r="H21" s="14">
        <v>5</v>
      </c>
      <c r="I21" s="43">
        <v>2122</v>
      </c>
      <c r="J21" s="14">
        <v>30</v>
      </c>
      <c r="K21" s="62">
        <v>2500</v>
      </c>
      <c r="L21" s="62"/>
      <c r="M21" s="43">
        <v>0</v>
      </c>
      <c r="N21" s="62">
        <f t="shared" si="0"/>
        <v>2500</v>
      </c>
      <c r="O21" s="62">
        <f t="shared" si="1"/>
        <v>250</v>
      </c>
      <c r="P21" s="62">
        <f t="shared" si="2"/>
        <v>42.75</v>
      </c>
      <c r="Q21" s="62">
        <f t="shared" si="3"/>
        <v>12.5</v>
      </c>
      <c r="R21" s="62">
        <f t="shared" si="4"/>
        <v>12.5</v>
      </c>
      <c r="S21" s="43">
        <v>0</v>
      </c>
      <c r="T21" s="43">
        <f t="shared" si="5"/>
        <v>317.75</v>
      </c>
      <c r="U21" s="43">
        <f t="shared" si="6"/>
        <v>2182.25</v>
      </c>
      <c r="V21" s="44"/>
      <c r="X21" s="45"/>
    </row>
    <row r="22" spans="1:24" ht="22.5" customHeight="1">
      <c r="A22" s="57">
        <v>12</v>
      </c>
      <c r="B22" s="41" t="s">
        <v>45</v>
      </c>
      <c r="C22" s="41" t="s">
        <v>46</v>
      </c>
      <c r="D22" s="42"/>
      <c r="E22" s="14"/>
      <c r="F22" s="41" t="s">
        <v>47</v>
      </c>
      <c r="G22" s="30">
        <v>43101</v>
      </c>
      <c r="H22" s="63">
        <v>6</v>
      </c>
      <c r="I22" s="64"/>
      <c r="J22" s="14">
        <v>30</v>
      </c>
      <c r="K22" s="62">
        <v>2500</v>
      </c>
      <c r="L22" s="62"/>
      <c r="M22" s="43">
        <v>825</v>
      </c>
      <c r="N22" s="62">
        <f t="shared" si="0"/>
        <v>3325</v>
      </c>
      <c r="O22" s="62">
        <f t="shared" si="1"/>
        <v>332.5</v>
      </c>
      <c r="P22" s="62">
        <f t="shared" si="2"/>
        <v>56.857500000000002</v>
      </c>
      <c r="Q22" s="62">
        <f t="shared" si="3"/>
        <v>16.625</v>
      </c>
      <c r="R22" s="62">
        <f t="shared" si="4"/>
        <v>16.625</v>
      </c>
      <c r="S22" s="43">
        <v>0</v>
      </c>
      <c r="T22" s="43">
        <f t="shared" si="5"/>
        <v>422.60750000000002</v>
      </c>
      <c r="U22" s="43">
        <f>+N22-T22</f>
        <v>2902.3924999999999</v>
      </c>
      <c r="V22" s="44"/>
      <c r="X22" s="108"/>
    </row>
    <row r="23" spans="1:24" ht="22.5" customHeight="1">
      <c r="A23" s="57">
        <v>13</v>
      </c>
      <c r="B23" s="41" t="s">
        <v>31</v>
      </c>
      <c r="C23" s="41" t="s">
        <v>62</v>
      </c>
      <c r="D23" s="42"/>
      <c r="E23" s="14"/>
      <c r="F23" s="41" t="s">
        <v>32</v>
      </c>
      <c r="G23" s="59">
        <v>45323</v>
      </c>
      <c r="H23" s="40">
        <v>5</v>
      </c>
      <c r="J23" s="15">
        <v>30</v>
      </c>
      <c r="K23" s="38">
        <v>2724.85</v>
      </c>
      <c r="L23" s="62"/>
      <c r="M23" s="43">
        <v>0</v>
      </c>
      <c r="N23" s="62">
        <f t="shared" si="0"/>
        <v>2724.85</v>
      </c>
      <c r="O23" s="62">
        <f t="shared" si="1"/>
        <v>272.48500000000001</v>
      </c>
      <c r="P23" s="62">
        <f t="shared" si="2"/>
        <v>46.594935</v>
      </c>
      <c r="Q23" s="62">
        <f t="shared" si="3"/>
        <v>13.62425</v>
      </c>
      <c r="R23" s="62">
        <f t="shared" si="4"/>
        <v>13.62425</v>
      </c>
      <c r="S23" s="43">
        <v>0</v>
      </c>
      <c r="T23" s="43">
        <f t="shared" si="5"/>
        <v>346.32843500000007</v>
      </c>
      <c r="U23" s="43">
        <f t="shared" si="6"/>
        <v>2378.521565</v>
      </c>
      <c r="V23" s="44"/>
      <c r="X23" s="45"/>
    </row>
    <row r="24" spans="1:24" ht="22.5" customHeight="1">
      <c r="A24" s="57">
        <v>14</v>
      </c>
      <c r="B24" s="110" t="s">
        <v>149</v>
      </c>
      <c r="C24" s="111" t="s">
        <v>150</v>
      </c>
      <c r="D24" s="42"/>
      <c r="E24" s="14"/>
      <c r="F24" s="112" t="s">
        <v>36</v>
      </c>
      <c r="G24" s="59">
        <v>45323</v>
      </c>
      <c r="H24" s="40">
        <v>4</v>
      </c>
      <c r="J24" s="15">
        <v>30</v>
      </c>
      <c r="K24" s="38">
        <v>2500</v>
      </c>
      <c r="L24" s="62"/>
      <c r="M24" s="43">
        <v>0</v>
      </c>
      <c r="N24" s="62">
        <f t="shared" si="0"/>
        <v>2500</v>
      </c>
      <c r="O24" s="62">
        <f t="shared" si="1"/>
        <v>250</v>
      </c>
      <c r="P24" s="62">
        <f t="shared" si="2"/>
        <v>42.75</v>
      </c>
      <c r="Q24" s="62">
        <f t="shared" si="3"/>
        <v>12.5</v>
      </c>
      <c r="R24" s="62">
        <f t="shared" si="4"/>
        <v>12.5</v>
      </c>
      <c r="S24" s="43">
        <v>0</v>
      </c>
      <c r="T24" s="43">
        <f t="shared" si="5"/>
        <v>317.75</v>
      </c>
      <c r="U24" s="43">
        <f t="shared" si="6"/>
        <v>2182.25</v>
      </c>
      <c r="V24" s="44"/>
      <c r="X24" s="45"/>
    </row>
    <row r="25" spans="1:24" ht="22.5" customHeight="1">
      <c r="A25" s="57">
        <v>15</v>
      </c>
      <c r="B25" s="41" t="s">
        <v>52</v>
      </c>
      <c r="C25" s="41" t="s">
        <v>128</v>
      </c>
      <c r="D25" s="42"/>
      <c r="E25" s="14"/>
      <c r="F25" s="41" t="s">
        <v>40</v>
      </c>
      <c r="G25" s="59">
        <v>45323</v>
      </c>
      <c r="H25" s="40">
        <v>5</v>
      </c>
      <c r="J25" s="15">
        <v>30</v>
      </c>
      <c r="K25" s="38">
        <v>2503.67</v>
      </c>
      <c r="L25" s="62"/>
      <c r="M25" s="43">
        <v>0</v>
      </c>
      <c r="N25" s="62">
        <f t="shared" si="0"/>
        <v>2503.67</v>
      </c>
      <c r="O25" s="62">
        <f t="shared" si="1"/>
        <v>250.36700000000002</v>
      </c>
      <c r="P25" s="62">
        <f t="shared" si="2"/>
        <v>42.812757000000005</v>
      </c>
      <c r="Q25" s="62">
        <f t="shared" si="3"/>
        <v>12.51835</v>
      </c>
      <c r="R25" s="62">
        <f t="shared" si="4"/>
        <v>12.51835</v>
      </c>
      <c r="S25" s="43">
        <v>0</v>
      </c>
      <c r="T25" s="43">
        <f t="shared" si="5"/>
        <v>318.21645699999999</v>
      </c>
      <c r="U25" s="43">
        <f t="shared" si="6"/>
        <v>2185.4535430000001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45323</v>
      </c>
      <c r="H26" s="63">
        <v>5</v>
      </c>
      <c r="I26" s="64"/>
      <c r="J26" s="14">
        <v>30</v>
      </c>
      <c r="K26" s="62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45323</v>
      </c>
      <c r="H28" s="40">
        <v>4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62">
        <f t="shared" si="1"/>
        <v>250</v>
      </c>
      <c r="P28" s="62">
        <f t="shared" si="2"/>
        <v>42.75</v>
      </c>
      <c r="Q28" s="62">
        <f t="shared" si="3"/>
        <v>12.5</v>
      </c>
      <c r="R28" s="62">
        <f t="shared" si="4"/>
        <v>12.5</v>
      </c>
      <c r="S28" s="43">
        <v>0</v>
      </c>
      <c r="T28" s="43">
        <f t="shared" si="5"/>
        <v>317.75</v>
      </c>
      <c r="U28" s="43">
        <f t="shared" si="6"/>
        <v>2182.25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 t="shared" si="0"/>
        <v>2546.16</v>
      </c>
      <c r="O29" s="62">
        <f t="shared" si="1"/>
        <v>254.61599999999999</v>
      </c>
      <c r="P29" s="62">
        <f t="shared" si="2"/>
        <v>43.539335999999999</v>
      </c>
      <c r="Q29" s="62">
        <f t="shared" si="3"/>
        <v>12.7308</v>
      </c>
      <c r="R29" s="62">
        <f t="shared" si="4"/>
        <v>12.7308</v>
      </c>
      <c r="S29" s="43">
        <v>0</v>
      </c>
      <c r="T29" s="43">
        <f t="shared" si="5"/>
        <v>323.61693599999995</v>
      </c>
      <c r="U29" s="43">
        <f t="shared" si="6"/>
        <v>2222.543064</v>
      </c>
      <c r="V29" s="44"/>
      <c r="X29" s="45"/>
    </row>
    <row r="30" spans="1:24" ht="22.5" customHeight="1">
      <c r="A30" s="57">
        <v>20</v>
      </c>
      <c r="B30" s="41" t="s">
        <v>41</v>
      </c>
      <c r="C30" s="41" t="s">
        <v>72</v>
      </c>
      <c r="D30" s="42"/>
      <c r="E30" s="14"/>
      <c r="F30" s="41" t="s">
        <v>73</v>
      </c>
      <c r="G30" s="59">
        <v>45323</v>
      </c>
      <c r="H30" s="40">
        <v>5</v>
      </c>
      <c r="J30" s="15">
        <v>30</v>
      </c>
      <c r="K30" s="38">
        <v>2546.16</v>
      </c>
      <c r="L30" s="62"/>
      <c r="M30" s="43">
        <v>0</v>
      </c>
      <c r="N30" s="62">
        <f>K30+M30</f>
        <v>2546.16</v>
      </c>
      <c r="O30" s="62">
        <f>+N30*0.1</f>
        <v>254.61599999999999</v>
      </c>
      <c r="P30" s="62">
        <f>+N30*0.0171</f>
        <v>43.539335999999999</v>
      </c>
      <c r="Q30" s="62">
        <f>+N30*0.005</f>
        <v>12.7308</v>
      </c>
      <c r="R30" s="62">
        <f>N30*0.5%</f>
        <v>12.7308</v>
      </c>
      <c r="S30" s="43">
        <v>0</v>
      </c>
      <c r="T30" s="43">
        <f>+O30+P30+Q30+R30+S30</f>
        <v>323.61693599999995</v>
      </c>
      <c r="U30" s="43">
        <f>+N30-T30</f>
        <v>2222.543064</v>
      </c>
      <c r="V30" s="44"/>
      <c r="X30" s="45"/>
    </row>
    <row r="31" spans="1:24" ht="22.5" customHeight="1">
      <c r="A31" s="57">
        <v>21</v>
      </c>
      <c r="B31" s="70" t="s">
        <v>50</v>
      </c>
      <c r="C31" s="70" t="s">
        <v>66</v>
      </c>
      <c r="D31" s="71"/>
      <c r="E31" s="72"/>
      <c r="F31" s="70" t="s">
        <v>51</v>
      </c>
      <c r="G31" s="59">
        <v>45323</v>
      </c>
      <c r="H31" s="74">
        <v>5</v>
      </c>
      <c r="J31" s="75">
        <v>30</v>
      </c>
      <c r="K31" s="38">
        <v>2614.89</v>
      </c>
      <c r="L31" s="62"/>
      <c r="M31" s="43">
        <v>0</v>
      </c>
      <c r="N31" s="62">
        <f t="shared" si="0"/>
        <v>2614.89</v>
      </c>
      <c r="O31" s="62">
        <f t="shared" si="1"/>
        <v>261.48899999999998</v>
      </c>
      <c r="P31" s="62">
        <f t="shared" si="2"/>
        <v>44.714618999999999</v>
      </c>
      <c r="Q31" s="62">
        <f t="shared" si="3"/>
        <v>13.074449999999999</v>
      </c>
      <c r="R31" s="62">
        <f t="shared" si="4"/>
        <v>13.074449999999999</v>
      </c>
      <c r="S31" s="43">
        <v>0</v>
      </c>
      <c r="T31" s="43">
        <f t="shared" si="5"/>
        <v>332.35251900000003</v>
      </c>
      <c r="U31" s="43">
        <f t="shared" si="6"/>
        <v>2282.5374809999998</v>
      </c>
      <c r="V31" s="44"/>
      <c r="X31" s="45"/>
    </row>
    <row r="32" spans="1:24" ht="22.5" customHeight="1">
      <c r="A32" s="57">
        <v>22</v>
      </c>
      <c r="B32" s="41" t="s">
        <v>183</v>
      </c>
      <c r="C32" s="41" t="s">
        <v>184</v>
      </c>
      <c r="D32" s="42"/>
      <c r="E32" s="14"/>
      <c r="F32" s="123" t="s">
        <v>215</v>
      </c>
      <c r="G32" s="59">
        <v>45323</v>
      </c>
      <c r="H32" s="122">
        <v>5</v>
      </c>
      <c r="I32" s="15">
        <v>30</v>
      </c>
      <c r="J32" s="75">
        <v>30</v>
      </c>
      <c r="K32" s="68">
        <v>2939.05</v>
      </c>
      <c r="L32" s="69"/>
      <c r="M32" s="43">
        <v>0</v>
      </c>
      <c r="N32" s="62">
        <f t="shared" si="0"/>
        <v>2939.05</v>
      </c>
      <c r="O32" s="62">
        <f t="shared" si="1"/>
        <v>293.90500000000003</v>
      </c>
      <c r="P32" s="62">
        <f t="shared" si="2"/>
        <v>50.257755000000003</v>
      </c>
      <c r="Q32" s="62">
        <f t="shared" si="3"/>
        <v>14.695250000000001</v>
      </c>
      <c r="R32" s="62">
        <f t="shared" si="4"/>
        <v>14.695250000000001</v>
      </c>
      <c r="S32" s="43">
        <v>0</v>
      </c>
      <c r="T32" s="43">
        <f t="shared" si="5"/>
        <v>373.55325500000004</v>
      </c>
      <c r="U32" s="43">
        <f t="shared" si="6"/>
        <v>2565.4967450000004</v>
      </c>
      <c r="V32" s="44"/>
      <c r="X32" s="45"/>
    </row>
    <row r="33" spans="1:26" ht="22.5" customHeight="1">
      <c r="A33" s="57">
        <v>23</v>
      </c>
      <c r="B33" s="41" t="s">
        <v>43</v>
      </c>
      <c r="C33" s="41" t="s">
        <v>124</v>
      </c>
      <c r="D33" s="42"/>
      <c r="E33" s="14"/>
      <c r="F33" s="41" t="s">
        <v>36</v>
      </c>
      <c r="G33" s="59">
        <v>45323</v>
      </c>
      <c r="H33" s="40">
        <v>4</v>
      </c>
      <c r="I33" s="76"/>
      <c r="J33" s="75">
        <v>30</v>
      </c>
      <c r="K33" s="68">
        <v>2500</v>
      </c>
      <c r="L33" s="69"/>
      <c r="M33" s="43">
        <v>0</v>
      </c>
      <c r="N33" s="62">
        <f t="shared" si="0"/>
        <v>2500</v>
      </c>
      <c r="O33" s="62">
        <f t="shared" si="1"/>
        <v>250</v>
      </c>
      <c r="P33" s="62">
        <f t="shared" si="2"/>
        <v>42.75</v>
      </c>
      <c r="Q33" s="62">
        <f t="shared" si="3"/>
        <v>12.5</v>
      </c>
      <c r="R33" s="62">
        <f t="shared" si="4"/>
        <v>12.5</v>
      </c>
      <c r="S33" s="43">
        <v>0</v>
      </c>
      <c r="T33" s="43">
        <f t="shared" si="5"/>
        <v>317.75</v>
      </c>
      <c r="U33" s="43">
        <f t="shared" si="6"/>
        <v>2182.25</v>
      </c>
      <c r="V33" s="44"/>
      <c r="X33" s="45"/>
    </row>
    <row r="34" spans="1:26" ht="22.5" customHeight="1">
      <c r="A34" s="57">
        <v>24</v>
      </c>
      <c r="B34" s="41" t="s">
        <v>37</v>
      </c>
      <c r="C34" s="41" t="s">
        <v>38</v>
      </c>
      <c r="D34" s="42"/>
      <c r="E34" s="14"/>
      <c r="F34" s="41" t="s">
        <v>34</v>
      </c>
      <c r="G34" s="59">
        <v>45323</v>
      </c>
      <c r="H34" s="40">
        <v>5</v>
      </c>
      <c r="I34" s="76"/>
      <c r="J34" s="75">
        <v>30</v>
      </c>
      <c r="K34" s="68">
        <v>2500</v>
      </c>
      <c r="L34" s="69"/>
      <c r="M34" s="43">
        <v>0</v>
      </c>
      <c r="N34" s="62">
        <f t="shared" si="0"/>
        <v>2500</v>
      </c>
      <c r="O34" s="62">
        <f t="shared" si="1"/>
        <v>250</v>
      </c>
      <c r="P34" s="62">
        <f t="shared" si="2"/>
        <v>42.75</v>
      </c>
      <c r="Q34" s="62">
        <f t="shared" si="3"/>
        <v>12.5</v>
      </c>
      <c r="R34" s="62">
        <f t="shared" si="4"/>
        <v>12.5</v>
      </c>
      <c r="S34" s="43">
        <v>0</v>
      </c>
      <c r="T34" s="43">
        <f t="shared" si="5"/>
        <v>317.75</v>
      </c>
      <c r="U34" s="43">
        <f t="shared" si="6"/>
        <v>2182.25</v>
      </c>
      <c r="V34" s="44"/>
      <c r="X34" s="45"/>
    </row>
    <row r="35" spans="1:26" s="18" customFormat="1" ht="21" customHeight="1">
      <c r="A35" s="33"/>
      <c r="B35" s="34"/>
      <c r="C35" s="35" t="s">
        <v>22</v>
      </c>
      <c r="D35" s="34"/>
      <c r="E35" s="36"/>
      <c r="F35" s="34"/>
      <c r="G35" s="34"/>
      <c r="H35" s="65"/>
      <c r="I35" s="65"/>
      <c r="J35" s="37"/>
      <c r="K35" s="32">
        <f>SUM(K11:K34)</f>
        <v>66438.67</v>
      </c>
      <c r="L35" s="32"/>
      <c r="M35" s="32">
        <f t="shared" ref="M35" si="7">SUM(M15:M31)</f>
        <v>825</v>
      </c>
      <c r="N35" s="32">
        <f>SUM(N11:N34)</f>
        <v>67263.67</v>
      </c>
      <c r="O35" s="32">
        <f>SUM(O11:O34)</f>
        <v>6726.3670000000002</v>
      </c>
      <c r="P35" s="32">
        <f>SUM(P11:P34)</f>
        <v>1150.2087570000001</v>
      </c>
      <c r="Q35" s="32">
        <f>SUM(Q11:Q34)</f>
        <v>336.31834999999995</v>
      </c>
      <c r="R35" s="32">
        <f>SUM(R11:R34)</f>
        <v>336.31834999999995</v>
      </c>
      <c r="S35" s="32">
        <f>SUM(S15:S34)</f>
        <v>0</v>
      </c>
      <c r="T35" s="32">
        <f>SUM(T11:T34)</f>
        <v>8549.2124570000015</v>
      </c>
      <c r="U35" s="32">
        <f>SUM(U11:U34)</f>
        <v>58714.457542999997</v>
      </c>
      <c r="V35" s="19"/>
    </row>
    <row r="36" spans="1:26" s="18" customFormat="1" ht="9.75" customHeigh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23">
        <f>SUM(T35:T35)</f>
        <v>8549.2124570000015</v>
      </c>
      <c r="U36" s="23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 s="46"/>
      <c r="O37"/>
      <c r="P37"/>
      <c r="Q37"/>
      <c r="R37"/>
      <c r="S37"/>
      <c r="T37"/>
      <c r="U37"/>
      <c r="V37"/>
      <c r="Y37"/>
      <c r="Z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6" s="18" customFormat="1">
      <c r="A39"/>
      <c r="B39"/>
      <c r="C39"/>
      <c r="D39"/>
      <c r="E39" s="9"/>
      <c r="F39"/>
      <c r="G39"/>
      <c r="H39"/>
      <c r="I39"/>
      <c r="J39"/>
      <c r="K39" t="s">
        <v>236</v>
      </c>
      <c r="L39"/>
      <c r="M39"/>
      <c r="N39"/>
      <c r="O39"/>
      <c r="P39"/>
      <c r="Q39"/>
      <c r="R39"/>
      <c r="S39"/>
      <c r="T39"/>
      <c r="U39"/>
      <c r="V39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Z39"/>
  <sheetViews>
    <sheetView workbookViewId="0">
      <selection activeCell="N30" sqref="N30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237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57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56" t="s">
        <v>15</v>
      </c>
      <c r="K9" s="235"/>
      <c r="L9" s="158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58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45323</v>
      </c>
      <c r="H11" s="14">
        <v>5</v>
      </c>
      <c r="I11" s="45"/>
      <c r="J11" s="58">
        <v>30</v>
      </c>
      <c r="K11" s="155">
        <v>2587.36</v>
      </c>
      <c r="L11" s="60"/>
      <c r="M11" s="43">
        <v>0</v>
      </c>
      <c r="N11" s="62">
        <f t="shared" ref="N11:N34" si="0">K11+M11</f>
        <v>2587.36</v>
      </c>
      <c r="O11" s="62">
        <f t="shared" ref="O11:O34" si="1">+N11*0.1</f>
        <v>258.73600000000005</v>
      </c>
      <c r="P11" s="62">
        <f t="shared" ref="P11:P34" si="2">+N11*0.0171</f>
        <v>44.243856000000001</v>
      </c>
      <c r="Q11" s="62">
        <f t="shared" ref="Q11:Q34" si="3">+N11*0.005</f>
        <v>12.936800000000002</v>
      </c>
      <c r="R11" s="62">
        <f t="shared" ref="R11:R34" si="4">N11*0.5%</f>
        <v>12.936800000000002</v>
      </c>
      <c r="S11" s="43">
        <v>0</v>
      </c>
      <c r="T11" s="43">
        <f t="shared" ref="T11:T34" si="5">+O11+P11+Q11+R11+S11</f>
        <v>328.85345600000005</v>
      </c>
      <c r="U11" s="43">
        <f t="shared" ref="U11:U34" si="6">+N11-T11</f>
        <v>2258.5065439999998</v>
      </c>
      <c r="V11" s="55"/>
    </row>
    <row r="12" spans="1:24" ht="22.5" customHeight="1">
      <c r="A12" s="57">
        <v>2</v>
      </c>
      <c r="B12" s="56" t="s">
        <v>230</v>
      </c>
      <c r="C12" s="66" t="s">
        <v>231</v>
      </c>
      <c r="D12" s="55"/>
      <c r="E12" s="55"/>
      <c r="F12" s="123" t="s">
        <v>232</v>
      </c>
      <c r="G12" s="59">
        <v>45523</v>
      </c>
      <c r="H12" s="14">
        <v>5</v>
      </c>
      <c r="I12" s="45"/>
      <c r="J12" s="58">
        <v>30</v>
      </c>
      <c r="K12" s="155">
        <v>2500</v>
      </c>
      <c r="L12" s="60"/>
      <c r="M12" s="43">
        <v>0</v>
      </c>
      <c r="N12" s="62">
        <f t="shared" si="0"/>
        <v>2500</v>
      </c>
      <c r="O12" s="62">
        <f t="shared" si="1"/>
        <v>250</v>
      </c>
      <c r="P12" s="62">
        <f t="shared" si="2"/>
        <v>42.75</v>
      </c>
      <c r="Q12" s="62">
        <f t="shared" si="3"/>
        <v>12.5</v>
      </c>
      <c r="R12" s="62">
        <f t="shared" si="4"/>
        <v>12.5</v>
      </c>
      <c r="S12" s="43">
        <v>0</v>
      </c>
      <c r="T12" s="43">
        <f t="shared" si="5"/>
        <v>317.75</v>
      </c>
      <c r="U12" s="43">
        <f t="shared" si="6"/>
        <v>2182.25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185</v>
      </c>
      <c r="G13" s="59">
        <v>45518</v>
      </c>
      <c r="H13" s="14">
        <v>5</v>
      </c>
      <c r="I13" s="45"/>
      <c r="J13" s="58">
        <v>30</v>
      </c>
      <c r="K13" s="155">
        <v>3000</v>
      </c>
      <c r="L13" s="60"/>
      <c r="M13" s="43">
        <v>0</v>
      </c>
      <c r="N13" s="62">
        <f t="shared" si="0"/>
        <v>3000</v>
      </c>
      <c r="O13" s="62">
        <f t="shared" si="1"/>
        <v>300</v>
      </c>
      <c r="P13" s="62">
        <f t="shared" si="2"/>
        <v>51.300000000000004</v>
      </c>
      <c r="Q13" s="62">
        <f t="shared" si="3"/>
        <v>15</v>
      </c>
      <c r="R13" s="62">
        <f t="shared" si="4"/>
        <v>15</v>
      </c>
      <c r="S13" s="43">
        <v>0</v>
      </c>
      <c r="T13" s="43">
        <f t="shared" si="5"/>
        <v>381.3</v>
      </c>
      <c r="U13" s="43">
        <f t="shared" si="6"/>
        <v>2618.6999999999998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62">
        <f t="shared" si="1"/>
        <v>254.61599999999999</v>
      </c>
      <c r="P14" s="62">
        <f t="shared" si="2"/>
        <v>43.539335999999999</v>
      </c>
      <c r="Q14" s="62">
        <f t="shared" si="3"/>
        <v>12.7308</v>
      </c>
      <c r="R14" s="62">
        <f t="shared" si="4"/>
        <v>12.7308</v>
      </c>
      <c r="S14" s="43">
        <v>0</v>
      </c>
      <c r="T14" s="43">
        <f t="shared" si="5"/>
        <v>323.61693599999995</v>
      </c>
      <c r="U14" s="43">
        <f t="shared" si="6"/>
        <v>2222.543064</v>
      </c>
      <c r="V14" s="55"/>
    </row>
    <row r="15" spans="1:24" ht="22.5" customHeight="1">
      <c r="A15" s="57">
        <v>5</v>
      </c>
      <c r="B15" s="41" t="s">
        <v>44</v>
      </c>
      <c r="C15" s="41" t="s">
        <v>61</v>
      </c>
      <c r="D15" s="42"/>
      <c r="E15" s="14"/>
      <c r="F15" s="41" t="s">
        <v>49</v>
      </c>
      <c r="G15" s="59">
        <v>45323</v>
      </c>
      <c r="H15" s="63">
        <v>6</v>
      </c>
      <c r="I15" s="64"/>
      <c r="J15" s="14">
        <v>30</v>
      </c>
      <c r="K15" s="62">
        <v>4310.43</v>
      </c>
      <c r="L15" s="62"/>
      <c r="M15" s="43">
        <v>0</v>
      </c>
      <c r="N15" s="62">
        <f t="shared" si="0"/>
        <v>4310.43</v>
      </c>
      <c r="O15" s="62">
        <f t="shared" si="1"/>
        <v>431.04300000000006</v>
      </c>
      <c r="P15" s="62">
        <f t="shared" si="2"/>
        <v>73.708353000000002</v>
      </c>
      <c r="Q15" s="62">
        <f t="shared" si="3"/>
        <v>21.552150000000001</v>
      </c>
      <c r="R15" s="62">
        <f t="shared" si="4"/>
        <v>21.552150000000001</v>
      </c>
      <c r="S15" s="43">
        <v>0</v>
      </c>
      <c r="T15" s="43">
        <f t="shared" si="5"/>
        <v>547.85565300000007</v>
      </c>
      <c r="U15" s="43">
        <f t="shared" si="6"/>
        <v>3762.5743470000002</v>
      </c>
      <c r="V15" s="44"/>
      <c r="X15" s="45"/>
    </row>
    <row r="16" spans="1:24" ht="22.5" customHeight="1">
      <c r="A16" s="57">
        <v>6</v>
      </c>
      <c r="B16" s="41" t="s">
        <v>79</v>
      </c>
      <c r="C16" s="41" t="s">
        <v>80</v>
      </c>
      <c r="D16" s="42"/>
      <c r="E16" s="14"/>
      <c r="F16" s="41" t="s">
        <v>148</v>
      </c>
      <c r="G16" s="59">
        <v>45323</v>
      </c>
      <c r="H16" s="40">
        <v>5</v>
      </c>
      <c r="J16" s="15">
        <v>30</v>
      </c>
      <c r="K16" s="38">
        <v>4239.76</v>
      </c>
      <c r="L16" s="62"/>
      <c r="M16" s="43">
        <v>0</v>
      </c>
      <c r="N16" s="62">
        <f t="shared" si="0"/>
        <v>4239.76</v>
      </c>
      <c r="O16" s="62">
        <f t="shared" si="1"/>
        <v>423.97600000000006</v>
      </c>
      <c r="P16" s="62">
        <f t="shared" si="2"/>
        <v>72.499896000000007</v>
      </c>
      <c r="Q16" s="62">
        <f t="shared" si="3"/>
        <v>21.198800000000002</v>
      </c>
      <c r="R16" s="62">
        <f t="shared" si="4"/>
        <v>21.198800000000002</v>
      </c>
      <c r="S16" s="43">
        <v>0</v>
      </c>
      <c r="T16" s="43">
        <f t="shared" si="5"/>
        <v>538.87349600000005</v>
      </c>
      <c r="U16" s="43">
        <f t="shared" si="6"/>
        <v>3700.8865040000001</v>
      </c>
      <c r="V16" s="44"/>
      <c r="X16" s="45"/>
    </row>
    <row r="17" spans="1:24" ht="22.5" customHeight="1">
      <c r="A17" s="57">
        <v>7</v>
      </c>
      <c r="B17" s="110" t="s">
        <v>19</v>
      </c>
      <c r="C17" s="110" t="s">
        <v>20</v>
      </c>
      <c r="D17" s="42"/>
      <c r="E17" s="14"/>
      <c r="F17" s="41" t="s">
        <v>178</v>
      </c>
      <c r="G17" s="59">
        <v>45323</v>
      </c>
      <c r="H17" s="40">
        <v>5</v>
      </c>
      <c r="J17" s="15">
        <v>30</v>
      </c>
      <c r="K17" s="38">
        <v>3022.72</v>
      </c>
      <c r="L17" s="62"/>
      <c r="M17" s="43">
        <v>0</v>
      </c>
      <c r="N17" s="62">
        <f t="shared" si="0"/>
        <v>3022.72</v>
      </c>
      <c r="O17" s="62">
        <f t="shared" si="1"/>
        <v>302.27199999999999</v>
      </c>
      <c r="P17" s="62">
        <f t="shared" si="2"/>
        <v>51.688511999999996</v>
      </c>
      <c r="Q17" s="62">
        <f t="shared" si="3"/>
        <v>15.1136</v>
      </c>
      <c r="R17" s="62">
        <f t="shared" si="4"/>
        <v>15.1136</v>
      </c>
      <c r="S17" s="43">
        <v>0</v>
      </c>
      <c r="T17" s="43">
        <f t="shared" si="5"/>
        <v>384.18771200000003</v>
      </c>
      <c r="U17" s="43">
        <f t="shared" si="6"/>
        <v>2638.5322879999999</v>
      </c>
      <c r="V17" s="44"/>
      <c r="X17" s="45"/>
    </row>
    <row r="18" spans="1:24" ht="22.5" customHeight="1">
      <c r="A18" s="57">
        <v>8</v>
      </c>
      <c r="B18" s="110" t="s">
        <v>101</v>
      </c>
      <c r="C18" s="110" t="s">
        <v>102</v>
      </c>
      <c r="D18" s="119"/>
      <c r="E18" s="120" t="s">
        <v>180</v>
      </c>
      <c r="F18" s="121" t="s">
        <v>103</v>
      </c>
      <c r="G18" s="59">
        <v>45323</v>
      </c>
      <c r="H18" s="40">
        <v>5</v>
      </c>
      <c r="J18" s="15">
        <v>30</v>
      </c>
      <c r="K18" s="38">
        <v>3159.05</v>
      </c>
      <c r="L18" s="62"/>
      <c r="M18" s="43">
        <v>0</v>
      </c>
      <c r="N18" s="62">
        <f t="shared" si="0"/>
        <v>3159.05</v>
      </c>
      <c r="O18" s="62">
        <f t="shared" si="1"/>
        <v>315.90500000000003</v>
      </c>
      <c r="P18" s="62">
        <f t="shared" si="2"/>
        <v>54.019755000000004</v>
      </c>
      <c r="Q18" s="62">
        <f t="shared" si="3"/>
        <v>15.795250000000001</v>
      </c>
      <c r="R18" s="62">
        <f t="shared" si="4"/>
        <v>15.795250000000001</v>
      </c>
      <c r="S18" s="43">
        <v>0</v>
      </c>
      <c r="T18" s="43">
        <f t="shared" si="5"/>
        <v>401.51525500000002</v>
      </c>
      <c r="U18" s="43">
        <f t="shared" si="6"/>
        <v>2757.5347449999999</v>
      </c>
      <c r="V18" s="44"/>
      <c r="X18" s="45"/>
    </row>
    <row r="19" spans="1:24" ht="22.5" customHeight="1">
      <c r="A19" s="57">
        <v>9</v>
      </c>
      <c r="B19" s="41" t="s">
        <v>105</v>
      </c>
      <c r="C19" s="41" t="s">
        <v>104</v>
      </c>
      <c r="D19" s="42"/>
      <c r="E19" s="14"/>
      <c r="F19" s="41" t="s">
        <v>32</v>
      </c>
      <c r="G19" s="59">
        <v>45323</v>
      </c>
      <c r="H19" s="40">
        <v>5</v>
      </c>
      <c r="J19" s="15">
        <v>30</v>
      </c>
      <c r="K19" s="38">
        <v>2546.16</v>
      </c>
      <c r="L19" s="62"/>
      <c r="M19" s="43">
        <v>0</v>
      </c>
      <c r="N19" s="62">
        <f t="shared" si="0"/>
        <v>2546.16</v>
      </c>
      <c r="O19" s="62">
        <f t="shared" si="1"/>
        <v>254.61599999999999</v>
      </c>
      <c r="P19" s="62">
        <f t="shared" si="2"/>
        <v>43.539335999999999</v>
      </c>
      <c r="Q19" s="62">
        <f t="shared" si="3"/>
        <v>12.7308</v>
      </c>
      <c r="R19" s="62">
        <f t="shared" si="4"/>
        <v>12.7308</v>
      </c>
      <c r="S19" s="43">
        <v>0</v>
      </c>
      <c r="T19" s="43">
        <f t="shared" si="5"/>
        <v>323.61693599999995</v>
      </c>
      <c r="U19" s="43">
        <f t="shared" si="6"/>
        <v>2222.543064</v>
      </c>
      <c r="V19" s="44"/>
      <c r="X19" s="45"/>
    </row>
    <row r="20" spans="1:24" ht="22.5" customHeight="1">
      <c r="A20" s="57">
        <v>10</v>
      </c>
      <c r="B20" s="110" t="s">
        <v>69</v>
      </c>
      <c r="C20" s="111" t="s">
        <v>70</v>
      </c>
      <c r="D20" s="127"/>
      <c r="E20" s="128" t="s">
        <v>199</v>
      </c>
      <c r="F20" s="128" t="s">
        <v>199</v>
      </c>
      <c r="G20" s="59">
        <v>45323</v>
      </c>
      <c r="H20" s="40">
        <v>5</v>
      </c>
      <c r="J20" s="15">
        <v>30</v>
      </c>
      <c r="K20" s="38">
        <v>2652.25</v>
      </c>
      <c r="L20" s="62"/>
      <c r="M20" s="43">
        <v>0</v>
      </c>
      <c r="N20" s="62">
        <f t="shared" si="0"/>
        <v>2652.25</v>
      </c>
      <c r="O20" s="62">
        <f t="shared" si="1"/>
        <v>265.22500000000002</v>
      </c>
      <c r="P20" s="62">
        <f t="shared" si="2"/>
        <v>45.353475000000003</v>
      </c>
      <c r="Q20" s="62">
        <f t="shared" si="3"/>
        <v>13.26125</v>
      </c>
      <c r="R20" s="62">
        <f t="shared" si="4"/>
        <v>13.26125</v>
      </c>
      <c r="S20" s="43">
        <v>0</v>
      </c>
      <c r="T20" s="43">
        <f t="shared" si="5"/>
        <v>337.10097500000006</v>
      </c>
      <c r="U20" s="43">
        <f t="shared" si="6"/>
        <v>2315.1490249999997</v>
      </c>
      <c r="V20" s="44"/>
      <c r="X20" s="45"/>
    </row>
    <row r="21" spans="1:24" ht="22.5" customHeight="1">
      <c r="A21" s="57">
        <v>11</v>
      </c>
      <c r="B21" s="21" t="s">
        <v>85</v>
      </c>
      <c r="C21" s="21" t="s">
        <v>86</v>
      </c>
      <c r="D21" s="20"/>
      <c r="E21" s="22" t="s">
        <v>40</v>
      </c>
      <c r="F21" s="30" t="s">
        <v>40</v>
      </c>
      <c r="G21" s="59">
        <v>45323</v>
      </c>
      <c r="H21" s="14">
        <v>5</v>
      </c>
      <c r="I21" s="43">
        <v>2122</v>
      </c>
      <c r="J21" s="14">
        <v>30</v>
      </c>
      <c r="K21" s="62">
        <v>2500</v>
      </c>
      <c r="L21" s="62"/>
      <c r="M21" s="43">
        <v>0</v>
      </c>
      <c r="N21" s="62">
        <f t="shared" si="0"/>
        <v>2500</v>
      </c>
      <c r="O21" s="62">
        <f t="shared" si="1"/>
        <v>250</v>
      </c>
      <c r="P21" s="62">
        <f t="shared" si="2"/>
        <v>42.75</v>
      </c>
      <c r="Q21" s="62">
        <f t="shared" si="3"/>
        <v>12.5</v>
      </c>
      <c r="R21" s="62">
        <f t="shared" si="4"/>
        <v>12.5</v>
      </c>
      <c r="S21" s="43">
        <v>0</v>
      </c>
      <c r="T21" s="43">
        <f t="shared" si="5"/>
        <v>317.75</v>
      </c>
      <c r="U21" s="43">
        <f t="shared" si="6"/>
        <v>2182.25</v>
      </c>
      <c r="V21" s="44"/>
      <c r="X21" s="45"/>
    </row>
    <row r="22" spans="1:24" ht="22.5" customHeight="1">
      <c r="A22" s="57">
        <v>12</v>
      </c>
      <c r="B22" s="41" t="s">
        <v>45</v>
      </c>
      <c r="C22" s="41" t="s">
        <v>46</v>
      </c>
      <c r="D22" s="42"/>
      <c r="E22" s="14"/>
      <c r="F22" s="41" t="s">
        <v>47</v>
      </c>
      <c r="G22" s="30">
        <v>43101</v>
      </c>
      <c r="H22" s="63">
        <v>6</v>
      </c>
      <c r="I22" s="64"/>
      <c r="J22" s="14">
        <v>30</v>
      </c>
      <c r="K22" s="62">
        <v>2500</v>
      </c>
      <c r="L22" s="62"/>
      <c r="M22" s="43">
        <v>825</v>
      </c>
      <c r="N22" s="62">
        <f t="shared" si="0"/>
        <v>3325</v>
      </c>
      <c r="O22" s="62">
        <f t="shared" si="1"/>
        <v>332.5</v>
      </c>
      <c r="P22" s="62">
        <f t="shared" si="2"/>
        <v>56.857500000000002</v>
      </c>
      <c r="Q22" s="62">
        <f t="shared" si="3"/>
        <v>16.625</v>
      </c>
      <c r="R22" s="62">
        <f t="shared" si="4"/>
        <v>16.625</v>
      </c>
      <c r="S22" s="43">
        <v>0</v>
      </c>
      <c r="T22" s="43">
        <f t="shared" si="5"/>
        <v>422.60750000000002</v>
      </c>
      <c r="U22" s="43">
        <f>+N22-T22</f>
        <v>2902.3924999999999</v>
      </c>
      <c r="V22" s="44"/>
      <c r="X22" s="108"/>
    </row>
    <row r="23" spans="1:24" ht="22.5" customHeight="1">
      <c r="A23" s="57">
        <v>13</v>
      </c>
      <c r="B23" s="41" t="s">
        <v>31</v>
      </c>
      <c r="C23" s="41" t="s">
        <v>62</v>
      </c>
      <c r="D23" s="42"/>
      <c r="E23" s="14"/>
      <c r="F23" s="41" t="s">
        <v>32</v>
      </c>
      <c r="G23" s="59">
        <v>45323</v>
      </c>
      <c r="H23" s="40">
        <v>5</v>
      </c>
      <c r="J23" s="15">
        <v>30</v>
      </c>
      <c r="K23" s="38">
        <v>2724.85</v>
      </c>
      <c r="L23" s="62"/>
      <c r="M23" s="43">
        <v>0</v>
      </c>
      <c r="N23" s="62">
        <f t="shared" si="0"/>
        <v>2724.85</v>
      </c>
      <c r="O23" s="62">
        <f t="shared" si="1"/>
        <v>272.48500000000001</v>
      </c>
      <c r="P23" s="62">
        <f t="shared" si="2"/>
        <v>46.594935</v>
      </c>
      <c r="Q23" s="62">
        <f t="shared" si="3"/>
        <v>13.62425</v>
      </c>
      <c r="R23" s="62">
        <f t="shared" si="4"/>
        <v>13.62425</v>
      </c>
      <c r="S23" s="43">
        <v>0</v>
      </c>
      <c r="T23" s="43">
        <f t="shared" si="5"/>
        <v>346.32843500000007</v>
      </c>
      <c r="U23" s="43">
        <f t="shared" si="6"/>
        <v>2378.521565</v>
      </c>
      <c r="V23" s="44"/>
      <c r="X23" s="45"/>
    </row>
    <row r="24" spans="1:24" ht="22.5" customHeight="1">
      <c r="A24" s="57">
        <v>14</v>
      </c>
      <c r="B24" s="110" t="s">
        <v>149</v>
      </c>
      <c r="C24" s="111" t="s">
        <v>150</v>
      </c>
      <c r="D24" s="42"/>
      <c r="E24" s="14"/>
      <c r="F24" s="112" t="s">
        <v>36</v>
      </c>
      <c r="G24" s="59">
        <v>45323</v>
      </c>
      <c r="H24" s="40">
        <v>4</v>
      </c>
      <c r="J24" s="15">
        <v>30</v>
      </c>
      <c r="K24" s="38">
        <v>2500</v>
      </c>
      <c r="L24" s="62"/>
      <c r="M24" s="43">
        <v>0</v>
      </c>
      <c r="N24" s="62">
        <f t="shared" si="0"/>
        <v>2500</v>
      </c>
      <c r="O24" s="62">
        <f t="shared" si="1"/>
        <v>250</v>
      </c>
      <c r="P24" s="62">
        <f t="shared" si="2"/>
        <v>42.75</v>
      </c>
      <c r="Q24" s="62">
        <f t="shared" si="3"/>
        <v>12.5</v>
      </c>
      <c r="R24" s="62">
        <f t="shared" si="4"/>
        <v>12.5</v>
      </c>
      <c r="S24" s="43">
        <v>0</v>
      </c>
      <c r="T24" s="43">
        <f t="shared" si="5"/>
        <v>317.75</v>
      </c>
      <c r="U24" s="43">
        <f t="shared" si="6"/>
        <v>2182.25</v>
      </c>
      <c r="V24" s="44"/>
      <c r="X24" s="45"/>
    </row>
    <row r="25" spans="1:24" ht="22.5" customHeight="1">
      <c r="A25" s="57">
        <v>15</v>
      </c>
      <c r="B25" s="41" t="s">
        <v>52</v>
      </c>
      <c r="C25" s="41" t="s">
        <v>128</v>
      </c>
      <c r="D25" s="42"/>
      <c r="E25" s="14"/>
      <c r="F25" s="41" t="s">
        <v>40</v>
      </c>
      <c r="G25" s="59">
        <v>45323</v>
      </c>
      <c r="H25" s="40">
        <v>5</v>
      </c>
      <c r="J25" s="15">
        <v>30</v>
      </c>
      <c r="K25" s="38">
        <v>2503.67</v>
      </c>
      <c r="L25" s="62"/>
      <c r="M25" s="43">
        <v>0</v>
      </c>
      <c r="N25" s="62">
        <f t="shared" si="0"/>
        <v>2503.67</v>
      </c>
      <c r="O25" s="62">
        <f t="shared" si="1"/>
        <v>250.36700000000002</v>
      </c>
      <c r="P25" s="62">
        <f t="shared" si="2"/>
        <v>42.812757000000005</v>
      </c>
      <c r="Q25" s="62">
        <f t="shared" si="3"/>
        <v>12.51835</v>
      </c>
      <c r="R25" s="62">
        <f t="shared" si="4"/>
        <v>12.51835</v>
      </c>
      <c r="S25" s="43">
        <v>0</v>
      </c>
      <c r="T25" s="43">
        <f t="shared" si="5"/>
        <v>318.21645699999999</v>
      </c>
      <c r="U25" s="43">
        <f t="shared" si="6"/>
        <v>2185.4535430000001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45323</v>
      </c>
      <c r="H26" s="63">
        <v>5</v>
      </c>
      <c r="I26" s="64"/>
      <c r="J26" s="14">
        <v>30</v>
      </c>
      <c r="K26" s="62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45323</v>
      </c>
      <c r="H28" s="40">
        <v>4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62">
        <f t="shared" si="1"/>
        <v>250</v>
      </c>
      <c r="P28" s="62">
        <f t="shared" si="2"/>
        <v>42.75</v>
      </c>
      <c r="Q28" s="62">
        <f t="shared" si="3"/>
        <v>12.5</v>
      </c>
      <c r="R28" s="62">
        <f t="shared" si="4"/>
        <v>12.5</v>
      </c>
      <c r="S28" s="43">
        <v>0</v>
      </c>
      <c r="T28" s="43">
        <f t="shared" si="5"/>
        <v>317.75</v>
      </c>
      <c r="U28" s="43">
        <f t="shared" si="6"/>
        <v>2182.25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 t="shared" si="0"/>
        <v>2546.16</v>
      </c>
      <c r="O29" s="62">
        <f t="shared" si="1"/>
        <v>254.61599999999999</v>
      </c>
      <c r="P29" s="62">
        <f t="shared" si="2"/>
        <v>43.539335999999999</v>
      </c>
      <c r="Q29" s="62">
        <f t="shared" si="3"/>
        <v>12.7308</v>
      </c>
      <c r="R29" s="62">
        <f t="shared" si="4"/>
        <v>12.7308</v>
      </c>
      <c r="S29" s="43">
        <v>0</v>
      </c>
      <c r="T29" s="43">
        <f t="shared" si="5"/>
        <v>323.61693599999995</v>
      </c>
      <c r="U29" s="43">
        <f t="shared" si="6"/>
        <v>2222.543064</v>
      </c>
      <c r="V29" s="44"/>
      <c r="X29" s="45"/>
    </row>
    <row r="30" spans="1:24" ht="22.5" customHeight="1">
      <c r="A30" s="57">
        <v>20</v>
      </c>
      <c r="B30" s="41" t="s">
        <v>41</v>
      </c>
      <c r="C30" s="41" t="s">
        <v>72</v>
      </c>
      <c r="D30" s="42"/>
      <c r="E30" s="14"/>
      <c r="F30" s="41" t="s">
        <v>73</v>
      </c>
      <c r="G30" s="59">
        <v>45323</v>
      </c>
      <c r="H30" s="40">
        <v>5</v>
      </c>
      <c r="J30" s="15">
        <v>30</v>
      </c>
      <c r="K30" s="38">
        <v>2546.16</v>
      </c>
      <c r="L30" s="62"/>
      <c r="M30" s="43">
        <v>0</v>
      </c>
      <c r="N30" s="62">
        <f>K30+M30</f>
        <v>2546.16</v>
      </c>
      <c r="O30" s="62">
        <f>+N30*0.1</f>
        <v>254.61599999999999</v>
      </c>
      <c r="P30" s="62">
        <f>+N30*0.0171</f>
        <v>43.539335999999999</v>
      </c>
      <c r="Q30" s="62">
        <f>+N30*0.005</f>
        <v>12.7308</v>
      </c>
      <c r="R30" s="62">
        <f>N30*0.5%</f>
        <v>12.7308</v>
      </c>
      <c r="S30" s="43">
        <v>0</v>
      </c>
      <c r="T30" s="43">
        <f>+O30+P30+Q30+R30+S30</f>
        <v>323.61693599999995</v>
      </c>
      <c r="U30" s="43">
        <f>+N30-T30</f>
        <v>2222.543064</v>
      </c>
      <c r="V30" s="44"/>
      <c r="X30" s="45"/>
    </row>
    <row r="31" spans="1:24" ht="22.5" customHeight="1">
      <c r="A31" s="57">
        <v>21</v>
      </c>
      <c r="B31" s="70" t="s">
        <v>50</v>
      </c>
      <c r="C31" s="70" t="s">
        <v>66</v>
      </c>
      <c r="D31" s="71"/>
      <c r="E31" s="72"/>
      <c r="F31" s="70" t="s">
        <v>51</v>
      </c>
      <c r="G31" s="59">
        <v>45323</v>
      </c>
      <c r="H31" s="74">
        <v>5</v>
      </c>
      <c r="J31" s="75">
        <v>30</v>
      </c>
      <c r="K31" s="38">
        <v>2614.89</v>
      </c>
      <c r="L31" s="62"/>
      <c r="M31" s="43">
        <v>0</v>
      </c>
      <c r="N31" s="62">
        <f t="shared" si="0"/>
        <v>2614.89</v>
      </c>
      <c r="O31" s="62">
        <f t="shared" si="1"/>
        <v>261.48899999999998</v>
      </c>
      <c r="P31" s="62">
        <f t="shared" si="2"/>
        <v>44.714618999999999</v>
      </c>
      <c r="Q31" s="62">
        <f t="shared" si="3"/>
        <v>13.074449999999999</v>
      </c>
      <c r="R31" s="62">
        <f t="shared" si="4"/>
        <v>13.074449999999999</v>
      </c>
      <c r="S31" s="43">
        <v>0</v>
      </c>
      <c r="T31" s="43">
        <f t="shared" si="5"/>
        <v>332.35251900000003</v>
      </c>
      <c r="U31" s="43">
        <f t="shared" si="6"/>
        <v>2282.5374809999998</v>
      </c>
      <c r="V31" s="44"/>
      <c r="X31" s="45"/>
    </row>
    <row r="32" spans="1:24" ht="22.5" customHeight="1">
      <c r="A32" s="57">
        <v>22</v>
      </c>
      <c r="B32" s="41" t="s">
        <v>183</v>
      </c>
      <c r="C32" s="41" t="s">
        <v>184</v>
      </c>
      <c r="D32" s="42"/>
      <c r="E32" s="14"/>
      <c r="F32" s="123" t="s">
        <v>215</v>
      </c>
      <c r="G32" s="59">
        <v>45323</v>
      </c>
      <c r="H32" s="122">
        <v>5</v>
      </c>
      <c r="I32" s="15">
        <v>30</v>
      </c>
      <c r="J32" s="75">
        <v>30</v>
      </c>
      <c r="K32" s="68">
        <v>2939.05</v>
      </c>
      <c r="L32" s="69"/>
      <c r="M32" s="43">
        <v>0</v>
      </c>
      <c r="N32" s="62">
        <f t="shared" si="0"/>
        <v>2939.05</v>
      </c>
      <c r="O32" s="62">
        <f t="shared" si="1"/>
        <v>293.90500000000003</v>
      </c>
      <c r="P32" s="62">
        <f t="shared" si="2"/>
        <v>50.257755000000003</v>
      </c>
      <c r="Q32" s="62">
        <f t="shared" si="3"/>
        <v>14.695250000000001</v>
      </c>
      <c r="R32" s="62">
        <f t="shared" si="4"/>
        <v>14.695250000000001</v>
      </c>
      <c r="S32" s="43">
        <v>0</v>
      </c>
      <c r="T32" s="43">
        <f t="shared" si="5"/>
        <v>373.55325500000004</v>
      </c>
      <c r="U32" s="43">
        <f t="shared" si="6"/>
        <v>2565.4967450000004</v>
      </c>
      <c r="V32" s="44"/>
      <c r="X32" s="45"/>
    </row>
    <row r="33" spans="1:26" ht="22.5" customHeight="1">
      <c r="A33" s="57">
        <v>23</v>
      </c>
      <c r="B33" s="41" t="s">
        <v>43</v>
      </c>
      <c r="C33" s="41" t="s">
        <v>124</v>
      </c>
      <c r="D33" s="42"/>
      <c r="E33" s="14"/>
      <c r="F33" s="41" t="s">
        <v>36</v>
      </c>
      <c r="G33" s="59">
        <v>45323</v>
      </c>
      <c r="H33" s="40">
        <v>4</v>
      </c>
      <c r="I33" s="76"/>
      <c r="J33" s="75">
        <v>30</v>
      </c>
      <c r="K33" s="68">
        <v>2500</v>
      </c>
      <c r="L33" s="69"/>
      <c r="M33" s="43">
        <v>0</v>
      </c>
      <c r="N33" s="62">
        <f t="shared" si="0"/>
        <v>2500</v>
      </c>
      <c r="O33" s="62">
        <f t="shared" si="1"/>
        <v>250</v>
      </c>
      <c r="P33" s="62">
        <f t="shared" si="2"/>
        <v>42.75</v>
      </c>
      <c r="Q33" s="62">
        <f t="shared" si="3"/>
        <v>12.5</v>
      </c>
      <c r="R33" s="62">
        <f t="shared" si="4"/>
        <v>12.5</v>
      </c>
      <c r="S33" s="43">
        <v>0</v>
      </c>
      <c r="T33" s="43">
        <f t="shared" si="5"/>
        <v>317.75</v>
      </c>
      <c r="U33" s="43">
        <f t="shared" si="6"/>
        <v>2182.25</v>
      </c>
      <c r="V33" s="44"/>
      <c r="X33" s="45"/>
    </row>
    <row r="34" spans="1:26" ht="22.5" customHeight="1">
      <c r="A34" s="57">
        <v>24</v>
      </c>
      <c r="B34" s="41" t="s">
        <v>37</v>
      </c>
      <c r="C34" s="41" t="s">
        <v>38</v>
      </c>
      <c r="D34" s="42"/>
      <c r="E34" s="14"/>
      <c r="F34" s="41" t="s">
        <v>34</v>
      </c>
      <c r="G34" s="59">
        <v>45323</v>
      </c>
      <c r="H34" s="40">
        <v>5</v>
      </c>
      <c r="I34" s="76"/>
      <c r="J34" s="75">
        <v>30</v>
      </c>
      <c r="K34" s="68">
        <v>2500</v>
      </c>
      <c r="L34" s="69"/>
      <c r="M34" s="43">
        <v>0</v>
      </c>
      <c r="N34" s="62">
        <f t="shared" si="0"/>
        <v>2500</v>
      </c>
      <c r="O34" s="62">
        <f t="shared" si="1"/>
        <v>250</v>
      </c>
      <c r="P34" s="62">
        <f t="shared" si="2"/>
        <v>42.75</v>
      </c>
      <c r="Q34" s="62">
        <f t="shared" si="3"/>
        <v>12.5</v>
      </c>
      <c r="R34" s="62">
        <f t="shared" si="4"/>
        <v>12.5</v>
      </c>
      <c r="S34" s="43">
        <v>0</v>
      </c>
      <c r="T34" s="43">
        <f t="shared" si="5"/>
        <v>317.75</v>
      </c>
      <c r="U34" s="43">
        <f t="shared" si="6"/>
        <v>2182.25</v>
      </c>
      <c r="V34" s="44"/>
      <c r="X34" s="45"/>
    </row>
    <row r="35" spans="1:26" s="18" customFormat="1" ht="21" customHeight="1">
      <c r="A35" s="33"/>
      <c r="B35" s="34"/>
      <c r="C35" s="35" t="s">
        <v>22</v>
      </c>
      <c r="D35" s="34"/>
      <c r="E35" s="36"/>
      <c r="F35" s="34"/>
      <c r="G35" s="34"/>
      <c r="H35" s="65"/>
      <c r="I35" s="65"/>
      <c r="J35" s="37"/>
      <c r="K35" s="32">
        <f>SUM(K11:K34)</f>
        <v>66438.67</v>
      </c>
      <c r="L35" s="32"/>
      <c r="M35" s="32">
        <f t="shared" ref="M35" si="7">SUM(M15:M31)</f>
        <v>825</v>
      </c>
      <c r="N35" s="32">
        <f>SUM(N11:N34)</f>
        <v>67263.67</v>
      </c>
      <c r="O35" s="32">
        <f>SUM(O11:O34)</f>
        <v>6726.3670000000002</v>
      </c>
      <c r="P35" s="32">
        <f>SUM(P11:P34)</f>
        <v>1150.2087570000001</v>
      </c>
      <c r="Q35" s="32">
        <f>SUM(Q11:Q34)</f>
        <v>336.31834999999995</v>
      </c>
      <c r="R35" s="32">
        <f>SUM(R11:R34)</f>
        <v>336.31834999999995</v>
      </c>
      <c r="S35" s="32">
        <f>SUM(S15:S34)</f>
        <v>0</v>
      </c>
      <c r="T35" s="32">
        <f>SUM(T11:T34)</f>
        <v>8549.2124570000015</v>
      </c>
      <c r="U35" s="32">
        <f>SUM(U11:U34)</f>
        <v>58714.457542999997</v>
      </c>
      <c r="V35" s="19"/>
    </row>
    <row r="36" spans="1:26" s="18" customFormat="1" ht="9.75" customHeigh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23">
        <f>SUM(T35:T35)</f>
        <v>8549.2124570000015</v>
      </c>
      <c r="U36" s="23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 s="46"/>
      <c r="O37"/>
      <c r="P37"/>
      <c r="Q37"/>
      <c r="R37"/>
      <c r="S37"/>
      <c r="T37"/>
      <c r="U37"/>
      <c r="V37"/>
      <c r="Y37"/>
      <c r="Z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6" s="18" customFormat="1">
      <c r="A39"/>
      <c r="B39"/>
      <c r="C39"/>
      <c r="D39"/>
      <c r="E39" s="9"/>
      <c r="F39"/>
      <c r="G39"/>
      <c r="H39"/>
      <c r="I39"/>
      <c r="J39"/>
      <c r="K39" t="s">
        <v>238</v>
      </c>
      <c r="L39"/>
      <c r="M39"/>
      <c r="N39"/>
      <c r="O39"/>
      <c r="P39"/>
      <c r="Q39"/>
      <c r="R39"/>
      <c r="S39"/>
      <c r="T39"/>
      <c r="U39"/>
      <c r="V39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V39"/>
  <sheetViews>
    <sheetView topLeftCell="C24" zoomScale="106" zoomScaleNormal="106" workbookViewId="0">
      <selection activeCell="S12" sqref="S12"/>
    </sheetView>
  </sheetViews>
  <sheetFormatPr baseColWidth="10" defaultRowHeight="15"/>
  <cols>
    <col min="1" max="1" width="3.140625" customWidth="1"/>
    <col min="2" max="2" width="10.85546875" customWidth="1"/>
    <col min="3" max="3" width="33.42578125" customWidth="1"/>
    <col min="4" max="4" width="11.42578125" hidden="1" customWidth="1"/>
    <col min="5" max="5" width="4" style="9" hidden="1" customWidth="1"/>
    <col min="6" max="6" width="18" customWidth="1"/>
    <col min="7" max="7" width="12" customWidth="1"/>
    <col min="8" max="10" width="0.140625" hidden="1" customWidth="1"/>
    <col min="11" max="11" width="10.85546875" customWidth="1"/>
    <col min="12" max="12" width="9.28515625" hidden="1" customWidth="1"/>
    <col min="13" max="13" width="7" customWidth="1"/>
    <col min="14" max="14" width="11.140625" customWidth="1"/>
    <col min="15" max="15" width="12.28515625" customWidth="1"/>
    <col min="16" max="16" width="13.7109375" customWidth="1"/>
    <col min="17" max="17" width="14.5703125" customWidth="1"/>
    <col min="18" max="18" width="25.5703125" customWidth="1"/>
    <col min="19" max="20" width="11.42578125" style="18" customWidth="1"/>
  </cols>
  <sheetData>
    <row r="1" spans="1:20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51"/>
      <c r="Q1" s="1"/>
      <c r="R1" s="129" t="s">
        <v>33</v>
      </c>
      <c r="S1" s="51"/>
    </row>
    <row r="2" spans="1:20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51"/>
      <c r="Q2" s="51"/>
      <c r="R2" s="51"/>
      <c r="S2" s="17"/>
    </row>
    <row r="3" spans="1:20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2"/>
      <c r="Q3" s="1"/>
      <c r="R3" s="1"/>
      <c r="S3" s="17"/>
    </row>
    <row r="4" spans="1:20" s="26" customFormat="1" ht="12" customHeight="1">
      <c r="A4" s="245" t="s">
        <v>143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7"/>
      <c r="T4" s="27"/>
    </row>
    <row r="5" spans="1:20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7"/>
      <c r="T5" s="27"/>
    </row>
    <row r="6" spans="1:20" s="26" customFormat="1" ht="19.5" customHeight="1">
      <c r="A6" s="245" t="s">
        <v>239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7"/>
      <c r="T6" s="27"/>
    </row>
    <row r="7" spans="1:20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6"/>
      <c r="P7" s="4"/>
      <c r="S7" s="7">
        <v>42399</v>
      </c>
      <c r="T7" s="8">
        <v>1656</v>
      </c>
    </row>
    <row r="8" spans="1:20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59"/>
      <c r="M8" s="234" t="s">
        <v>11</v>
      </c>
      <c r="N8" s="234" t="s">
        <v>12</v>
      </c>
      <c r="O8" s="234" t="s">
        <v>54</v>
      </c>
      <c r="P8" s="234" t="s">
        <v>55</v>
      </c>
      <c r="Q8" s="234" t="s">
        <v>56</v>
      </c>
      <c r="R8" s="234" t="s">
        <v>14</v>
      </c>
    </row>
    <row r="9" spans="1:20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61" t="s">
        <v>15</v>
      </c>
      <c r="K9" s="235"/>
      <c r="L9" s="160" t="s">
        <v>87</v>
      </c>
      <c r="M9" s="235"/>
      <c r="N9" s="235"/>
      <c r="O9" s="235"/>
      <c r="P9" s="235"/>
      <c r="Q9" s="235"/>
      <c r="R9" s="235"/>
    </row>
    <row r="10" spans="1:20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60"/>
      <c r="M10" s="236"/>
      <c r="N10" s="236"/>
      <c r="O10" s="236"/>
      <c r="P10" s="236"/>
      <c r="Q10" s="236"/>
      <c r="R10" s="236"/>
    </row>
    <row r="11" spans="1:20" s="177" customFormat="1" ht="22.5" customHeight="1">
      <c r="A11" s="164">
        <v>1</v>
      </c>
      <c r="B11" s="189" t="s">
        <v>99</v>
      </c>
      <c r="C11" s="190" t="s">
        <v>122</v>
      </c>
      <c r="D11" s="191"/>
      <c r="E11" s="191"/>
      <c r="F11" s="192" t="s">
        <v>100</v>
      </c>
      <c r="G11" s="169">
        <v>45323</v>
      </c>
      <c r="H11" s="170">
        <v>5</v>
      </c>
      <c r="I11" s="171"/>
      <c r="J11" s="193">
        <v>30</v>
      </c>
      <c r="K11" s="194">
        <v>2587.36</v>
      </c>
      <c r="L11" s="195"/>
      <c r="M11" s="163">
        <v>0</v>
      </c>
      <c r="N11" s="172">
        <f t="shared" ref="N11:N34" si="0">K11+M11</f>
        <v>2587.36</v>
      </c>
      <c r="O11" s="173">
        <v>10</v>
      </c>
      <c r="P11" s="174">
        <v>20</v>
      </c>
      <c r="Q11" s="163">
        <f>+(N11/12*10)+(N11/12/30*20)</f>
        <v>2299.8755555555554</v>
      </c>
      <c r="R11" s="191"/>
      <c r="S11" s="176"/>
      <c r="T11" s="176"/>
    </row>
    <row r="12" spans="1:20" ht="22.5" customHeight="1">
      <c r="A12" s="57">
        <v>2</v>
      </c>
      <c r="B12" s="56" t="s">
        <v>230</v>
      </c>
      <c r="C12" s="66" t="s">
        <v>231</v>
      </c>
      <c r="D12" s="55"/>
      <c r="E12" s="55"/>
      <c r="F12" s="123" t="s">
        <v>232</v>
      </c>
      <c r="G12" s="59">
        <v>45523</v>
      </c>
      <c r="H12" s="14">
        <v>5</v>
      </c>
      <c r="I12" s="45"/>
      <c r="J12" s="58">
        <v>30</v>
      </c>
      <c r="K12" s="155">
        <v>2500</v>
      </c>
      <c r="L12" s="60"/>
      <c r="M12" s="43">
        <v>0</v>
      </c>
      <c r="N12" s="62">
        <f t="shared" si="0"/>
        <v>2500</v>
      </c>
      <c r="O12" s="162">
        <v>3</v>
      </c>
      <c r="P12" s="114">
        <v>26</v>
      </c>
      <c r="Q12" s="43">
        <f>+(N12/12*3)+(N12/12/30*26)</f>
        <v>805.55555555555554</v>
      </c>
      <c r="R12" s="55"/>
    </row>
    <row r="13" spans="1:20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185</v>
      </c>
      <c r="G13" s="59">
        <v>45518</v>
      </c>
      <c r="H13" s="14">
        <v>5</v>
      </c>
      <c r="I13" s="45"/>
      <c r="J13" s="58">
        <v>30</v>
      </c>
      <c r="K13" s="155">
        <v>3000</v>
      </c>
      <c r="L13" s="60"/>
      <c r="M13" s="43">
        <v>0</v>
      </c>
      <c r="N13" s="62">
        <f t="shared" si="0"/>
        <v>3000</v>
      </c>
      <c r="O13" s="162">
        <v>4</v>
      </c>
      <c r="P13" s="114">
        <v>1</v>
      </c>
      <c r="Q13" s="43">
        <f>+(N13/12*4)+(N13/12/30*1)</f>
        <v>1008.3333333333334</v>
      </c>
      <c r="R13" s="55"/>
    </row>
    <row r="14" spans="1:20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162">
        <v>10</v>
      </c>
      <c r="P14" s="114">
        <v>14</v>
      </c>
      <c r="Q14" s="43">
        <f>+(N14/12*10)+(N14/12/30*14)</f>
        <v>2220.817333333333</v>
      </c>
      <c r="R14" s="55"/>
    </row>
    <row r="15" spans="1:20" ht="22.5" customHeight="1">
      <c r="A15" s="57">
        <v>5</v>
      </c>
      <c r="B15" s="41" t="s">
        <v>44</v>
      </c>
      <c r="C15" s="41" t="s">
        <v>61</v>
      </c>
      <c r="D15" s="42"/>
      <c r="E15" s="14"/>
      <c r="F15" s="41" t="s">
        <v>49</v>
      </c>
      <c r="G15" s="59">
        <v>45323</v>
      </c>
      <c r="H15" s="63">
        <v>6</v>
      </c>
      <c r="I15" s="64"/>
      <c r="J15" s="14">
        <v>30</v>
      </c>
      <c r="K15" s="62">
        <v>4310.43</v>
      </c>
      <c r="L15" s="62"/>
      <c r="M15" s="43">
        <v>0</v>
      </c>
      <c r="N15" s="62">
        <f t="shared" si="0"/>
        <v>4310.43</v>
      </c>
      <c r="O15" s="162">
        <v>10</v>
      </c>
      <c r="P15" s="114">
        <v>14</v>
      </c>
      <c r="Q15" s="43">
        <f>+(N15/12*10)+(N15/12/30*14)</f>
        <v>3759.652833333334</v>
      </c>
      <c r="R15" s="44"/>
      <c r="T15" s="45"/>
    </row>
    <row r="16" spans="1:20" ht="22.5" customHeight="1">
      <c r="A16" s="57">
        <v>6</v>
      </c>
      <c r="B16" s="41" t="s">
        <v>79</v>
      </c>
      <c r="C16" s="41" t="s">
        <v>80</v>
      </c>
      <c r="D16" s="42"/>
      <c r="E16" s="14"/>
      <c r="F16" s="41" t="s">
        <v>148</v>
      </c>
      <c r="G16" s="59">
        <v>45323</v>
      </c>
      <c r="H16" s="40">
        <v>5</v>
      </c>
      <c r="J16" s="15">
        <v>30</v>
      </c>
      <c r="K16" s="38">
        <v>4239.76</v>
      </c>
      <c r="L16" s="62"/>
      <c r="M16" s="43">
        <v>0</v>
      </c>
      <c r="N16" s="62">
        <f t="shared" si="0"/>
        <v>4239.76</v>
      </c>
      <c r="O16" s="162">
        <v>10</v>
      </c>
      <c r="P16" s="114">
        <v>14</v>
      </c>
      <c r="Q16" s="43">
        <f>+(N16/12*10)+(N16/12/30*14)</f>
        <v>3698.0128888888889</v>
      </c>
      <c r="R16" s="44"/>
      <c r="T16" s="45"/>
    </row>
    <row r="17" spans="1:20" s="177" customFormat="1" ht="22.5" customHeight="1">
      <c r="A17" s="164">
        <v>7</v>
      </c>
      <c r="B17" s="188" t="s">
        <v>19</v>
      </c>
      <c r="C17" s="188" t="s">
        <v>20</v>
      </c>
      <c r="D17" s="178"/>
      <c r="E17" s="170"/>
      <c r="F17" s="168" t="s">
        <v>178</v>
      </c>
      <c r="G17" s="169">
        <v>45323</v>
      </c>
      <c r="H17" s="179">
        <v>5</v>
      </c>
      <c r="J17" s="184">
        <v>30</v>
      </c>
      <c r="K17" s="185">
        <v>3022.72</v>
      </c>
      <c r="L17" s="172"/>
      <c r="M17" s="163">
        <v>0</v>
      </c>
      <c r="N17" s="172">
        <f t="shared" si="0"/>
        <v>3022.72</v>
      </c>
      <c r="O17" s="173">
        <v>10</v>
      </c>
      <c r="P17" s="174">
        <v>20</v>
      </c>
      <c r="Q17" s="163">
        <f>+(N17/12*10)+(N17/12/30*20)</f>
        <v>2686.862222222222</v>
      </c>
      <c r="R17" s="175"/>
      <c r="S17" s="176"/>
      <c r="T17" s="171"/>
    </row>
    <row r="18" spans="1:20" ht="22.5" customHeight="1">
      <c r="A18" s="57">
        <v>8</v>
      </c>
      <c r="B18" s="110" t="s">
        <v>101</v>
      </c>
      <c r="C18" s="110" t="s">
        <v>102</v>
      </c>
      <c r="D18" s="119"/>
      <c r="E18" s="120" t="s">
        <v>180</v>
      </c>
      <c r="F18" s="121" t="s">
        <v>103</v>
      </c>
      <c r="G18" s="59">
        <v>45323</v>
      </c>
      <c r="H18" s="40">
        <v>5</v>
      </c>
      <c r="J18" s="15">
        <v>30</v>
      </c>
      <c r="K18" s="38">
        <v>3159.05</v>
      </c>
      <c r="L18" s="62"/>
      <c r="M18" s="43">
        <v>0</v>
      </c>
      <c r="N18" s="62">
        <f t="shared" si="0"/>
        <v>3159.05</v>
      </c>
      <c r="O18" s="162">
        <v>10</v>
      </c>
      <c r="P18" s="114">
        <v>14</v>
      </c>
      <c r="Q18" s="43">
        <f t="shared" ref="Q18:Q20" si="1">+(N18/12*10)+(N18/12/30*14)</f>
        <v>2755.3936111111111</v>
      </c>
      <c r="R18" s="44"/>
      <c r="T18" s="45"/>
    </row>
    <row r="19" spans="1:20" ht="22.5" customHeight="1">
      <c r="A19" s="57">
        <v>9</v>
      </c>
      <c r="B19" s="41" t="s">
        <v>105</v>
      </c>
      <c r="C19" s="41" t="s">
        <v>104</v>
      </c>
      <c r="D19" s="42"/>
      <c r="E19" s="14"/>
      <c r="F19" s="41" t="s">
        <v>32</v>
      </c>
      <c r="G19" s="59">
        <v>45323</v>
      </c>
      <c r="H19" s="40">
        <v>5</v>
      </c>
      <c r="J19" s="15">
        <v>30</v>
      </c>
      <c r="K19" s="38">
        <v>2546.16</v>
      </c>
      <c r="L19" s="62"/>
      <c r="M19" s="43">
        <v>0</v>
      </c>
      <c r="N19" s="62">
        <f t="shared" si="0"/>
        <v>2546.16</v>
      </c>
      <c r="O19" s="162">
        <v>10</v>
      </c>
      <c r="P19" s="114">
        <v>14</v>
      </c>
      <c r="Q19" s="43">
        <f t="shared" si="1"/>
        <v>2220.817333333333</v>
      </c>
      <c r="R19" s="44"/>
      <c r="T19" s="45"/>
    </row>
    <row r="20" spans="1:20" ht="22.5" customHeight="1">
      <c r="A20" s="57">
        <v>10</v>
      </c>
      <c r="B20" s="110" t="s">
        <v>69</v>
      </c>
      <c r="C20" s="111" t="s">
        <v>70</v>
      </c>
      <c r="D20" s="127"/>
      <c r="E20" s="128" t="s">
        <v>199</v>
      </c>
      <c r="F20" s="128" t="s">
        <v>199</v>
      </c>
      <c r="G20" s="59">
        <v>45323</v>
      </c>
      <c r="H20" s="40">
        <v>5</v>
      </c>
      <c r="J20" s="15">
        <v>30</v>
      </c>
      <c r="K20" s="38">
        <v>2652.25</v>
      </c>
      <c r="L20" s="62"/>
      <c r="M20" s="43">
        <v>0</v>
      </c>
      <c r="N20" s="62">
        <f t="shared" si="0"/>
        <v>2652.25</v>
      </c>
      <c r="O20" s="162">
        <v>10</v>
      </c>
      <c r="P20" s="114">
        <v>14</v>
      </c>
      <c r="Q20" s="43">
        <f t="shared" si="1"/>
        <v>2313.3513888888892</v>
      </c>
      <c r="R20" s="44"/>
      <c r="T20" s="45"/>
    </row>
    <row r="21" spans="1:20" s="177" customFormat="1" ht="22.5" customHeight="1">
      <c r="A21" s="164">
        <v>11</v>
      </c>
      <c r="B21" s="165" t="s">
        <v>85</v>
      </c>
      <c r="C21" s="165" t="s">
        <v>86</v>
      </c>
      <c r="D21" s="166"/>
      <c r="E21" s="167" t="s">
        <v>40</v>
      </c>
      <c r="F21" s="186" t="s">
        <v>40</v>
      </c>
      <c r="G21" s="169">
        <v>45323</v>
      </c>
      <c r="H21" s="170">
        <v>5</v>
      </c>
      <c r="I21" s="163">
        <v>2122</v>
      </c>
      <c r="J21" s="170">
        <v>30</v>
      </c>
      <c r="K21" s="172">
        <v>2500</v>
      </c>
      <c r="L21" s="172"/>
      <c r="M21" s="163">
        <v>0</v>
      </c>
      <c r="N21" s="172">
        <f t="shared" si="0"/>
        <v>2500</v>
      </c>
      <c r="O21" s="173">
        <v>10</v>
      </c>
      <c r="P21" s="174">
        <v>20</v>
      </c>
      <c r="Q21" s="163">
        <f>+(N21/12*10)+(N21/12/30*20)</f>
        <v>2222.2222222222222</v>
      </c>
      <c r="R21" s="175"/>
      <c r="S21" s="176"/>
      <c r="T21" s="171"/>
    </row>
    <row r="22" spans="1:20" s="177" customFormat="1" ht="22.5" customHeight="1">
      <c r="A22" s="164">
        <v>12</v>
      </c>
      <c r="B22" s="168" t="s">
        <v>45</v>
      </c>
      <c r="C22" s="168" t="s">
        <v>46</v>
      </c>
      <c r="D22" s="178"/>
      <c r="E22" s="170"/>
      <c r="F22" s="168" t="s">
        <v>47</v>
      </c>
      <c r="G22" s="186">
        <v>43101</v>
      </c>
      <c r="H22" s="170">
        <v>6</v>
      </c>
      <c r="I22" s="171"/>
      <c r="J22" s="170">
        <v>30</v>
      </c>
      <c r="K22" s="172">
        <v>2500</v>
      </c>
      <c r="L22" s="172"/>
      <c r="M22" s="163">
        <v>825</v>
      </c>
      <c r="N22" s="172">
        <f t="shared" si="0"/>
        <v>3325</v>
      </c>
      <c r="O22" s="173">
        <v>11</v>
      </c>
      <c r="P22" s="174">
        <v>20</v>
      </c>
      <c r="Q22" s="163">
        <f>+(N22/12*11)+(N22/12/30*20)</f>
        <v>3232.6388888888887</v>
      </c>
      <c r="R22" s="175"/>
      <c r="S22" s="176"/>
      <c r="T22" s="187"/>
    </row>
    <row r="23" spans="1:20" ht="22.5" customHeight="1">
      <c r="A23" s="57">
        <v>13</v>
      </c>
      <c r="B23" s="41" t="s">
        <v>31</v>
      </c>
      <c r="C23" s="41" t="s">
        <v>62</v>
      </c>
      <c r="D23" s="42"/>
      <c r="E23" s="14"/>
      <c r="F23" s="41" t="s">
        <v>32</v>
      </c>
      <c r="G23" s="59">
        <v>45323</v>
      </c>
      <c r="H23" s="40">
        <v>5</v>
      </c>
      <c r="J23" s="15">
        <v>30</v>
      </c>
      <c r="K23" s="38">
        <v>2724.85</v>
      </c>
      <c r="L23" s="62"/>
      <c r="M23" s="43">
        <v>0</v>
      </c>
      <c r="N23" s="62">
        <f t="shared" si="0"/>
        <v>2724.85</v>
      </c>
      <c r="O23" s="162">
        <v>10</v>
      </c>
      <c r="P23" s="114">
        <v>14</v>
      </c>
      <c r="Q23" s="43">
        <f t="shared" ref="Q23:Q24" si="2">+(N23/12*10)+(N23/12/30*14)</f>
        <v>2376.674722222222</v>
      </c>
      <c r="R23" s="44"/>
      <c r="T23" s="45"/>
    </row>
    <row r="24" spans="1:20" ht="22.5" customHeight="1">
      <c r="A24" s="57">
        <v>14</v>
      </c>
      <c r="B24" s="110" t="s">
        <v>149</v>
      </c>
      <c r="C24" s="111" t="s">
        <v>150</v>
      </c>
      <c r="D24" s="42"/>
      <c r="E24" s="14"/>
      <c r="F24" s="112" t="s">
        <v>36</v>
      </c>
      <c r="G24" s="59">
        <v>45323</v>
      </c>
      <c r="H24" s="40">
        <v>4</v>
      </c>
      <c r="J24" s="15">
        <v>30</v>
      </c>
      <c r="K24" s="38">
        <v>2500</v>
      </c>
      <c r="L24" s="62"/>
      <c r="M24" s="43">
        <v>0</v>
      </c>
      <c r="N24" s="62">
        <f t="shared" si="0"/>
        <v>2500</v>
      </c>
      <c r="O24" s="162">
        <v>10</v>
      </c>
      <c r="P24" s="114">
        <v>14</v>
      </c>
      <c r="Q24" s="43">
        <f t="shared" si="2"/>
        <v>2180.5555555555557</v>
      </c>
      <c r="R24" s="44"/>
      <c r="T24" s="45"/>
    </row>
    <row r="25" spans="1:20" s="177" customFormat="1" ht="22.5" customHeight="1">
      <c r="A25" s="164">
        <v>15</v>
      </c>
      <c r="B25" s="168" t="s">
        <v>52</v>
      </c>
      <c r="C25" s="168" t="s">
        <v>128</v>
      </c>
      <c r="D25" s="178"/>
      <c r="E25" s="170"/>
      <c r="F25" s="168" t="s">
        <v>40</v>
      </c>
      <c r="G25" s="169">
        <v>45323</v>
      </c>
      <c r="H25" s="179">
        <v>5</v>
      </c>
      <c r="J25" s="184">
        <v>30</v>
      </c>
      <c r="K25" s="185">
        <v>2503.67</v>
      </c>
      <c r="L25" s="172"/>
      <c r="M25" s="163">
        <v>0</v>
      </c>
      <c r="N25" s="172">
        <f t="shared" si="0"/>
        <v>2503.67</v>
      </c>
      <c r="O25" s="173">
        <v>10</v>
      </c>
      <c r="P25" s="174">
        <v>20</v>
      </c>
      <c r="Q25" s="163">
        <f>+(N25/12*10)+(N25/12/30*20)</f>
        <v>2225.4844444444448</v>
      </c>
      <c r="R25" s="175"/>
      <c r="S25" s="176"/>
      <c r="T25" s="171"/>
    </row>
    <row r="26" spans="1:20" s="177" customFormat="1" ht="22.5" customHeight="1">
      <c r="A26" s="164">
        <v>16</v>
      </c>
      <c r="B26" s="165" t="s">
        <v>96</v>
      </c>
      <c r="C26" s="165" t="s">
        <v>181</v>
      </c>
      <c r="D26" s="166"/>
      <c r="E26" s="167" t="s">
        <v>40</v>
      </c>
      <c r="F26" s="168" t="s">
        <v>40</v>
      </c>
      <c r="G26" s="169">
        <v>45323</v>
      </c>
      <c r="H26" s="170">
        <v>5</v>
      </c>
      <c r="I26" s="171"/>
      <c r="J26" s="170">
        <v>30</v>
      </c>
      <c r="K26" s="172">
        <v>2500</v>
      </c>
      <c r="L26" s="172"/>
      <c r="M26" s="163">
        <v>0</v>
      </c>
      <c r="N26" s="172">
        <f t="shared" si="0"/>
        <v>2500</v>
      </c>
      <c r="O26" s="173">
        <v>10</v>
      </c>
      <c r="P26" s="174">
        <v>20</v>
      </c>
      <c r="Q26" s="163">
        <f>+(N26/12*10)+(N26/12/30*20)</f>
        <v>2222.2222222222222</v>
      </c>
      <c r="R26" s="175"/>
      <c r="S26" s="176"/>
      <c r="T26" s="171"/>
    </row>
    <row r="27" spans="1:20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45323</v>
      </c>
      <c r="H27" s="40">
        <v>4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162">
        <v>10</v>
      </c>
      <c r="P27" s="114">
        <v>14</v>
      </c>
      <c r="Q27" s="43">
        <f t="shared" ref="Q27" si="3">+(N27/12*10)+(N27/12/30*14)</f>
        <v>2180.5555555555557</v>
      </c>
      <c r="R27" s="44"/>
      <c r="T27" s="45"/>
    </row>
    <row r="28" spans="1:20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45323</v>
      </c>
      <c r="H28" s="40">
        <v>4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162">
        <v>10</v>
      </c>
      <c r="P28" s="114">
        <v>14</v>
      </c>
      <c r="Q28" s="43">
        <f t="shared" ref="Q28:Q32" si="4">+(N28/12*10)+(N28/12/30*14)</f>
        <v>2180.5555555555557</v>
      </c>
      <c r="R28" s="44"/>
      <c r="T28" s="45"/>
    </row>
    <row r="29" spans="1:20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45323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 t="shared" si="0"/>
        <v>2546.16</v>
      </c>
      <c r="O29" s="162">
        <v>10</v>
      </c>
      <c r="P29" s="114">
        <v>14</v>
      </c>
      <c r="Q29" s="43">
        <f t="shared" si="4"/>
        <v>2220.817333333333</v>
      </c>
      <c r="R29" s="44"/>
      <c r="T29" s="45"/>
    </row>
    <row r="30" spans="1:20" ht="22.5" customHeight="1">
      <c r="A30" s="57">
        <v>20</v>
      </c>
      <c r="B30" s="41" t="s">
        <v>41</v>
      </c>
      <c r="C30" s="41" t="s">
        <v>72</v>
      </c>
      <c r="D30" s="42"/>
      <c r="E30" s="14"/>
      <c r="F30" s="41" t="s">
        <v>73</v>
      </c>
      <c r="G30" s="59">
        <v>45323</v>
      </c>
      <c r="H30" s="40">
        <v>5</v>
      </c>
      <c r="J30" s="15">
        <v>30</v>
      </c>
      <c r="K30" s="38">
        <v>2546.16</v>
      </c>
      <c r="L30" s="62"/>
      <c r="M30" s="43">
        <v>0</v>
      </c>
      <c r="N30" s="62">
        <f>K30+M30</f>
        <v>2546.16</v>
      </c>
      <c r="O30" s="162">
        <v>10</v>
      </c>
      <c r="P30" s="114">
        <v>14</v>
      </c>
      <c r="Q30" s="43">
        <f t="shared" si="4"/>
        <v>2220.817333333333</v>
      </c>
      <c r="R30" s="44"/>
      <c r="T30" s="45"/>
    </row>
    <row r="31" spans="1:20" ht="22.5" customHeight="1">
      <c r="A31" s="57">
        <v>21</v>
      </c>
      <c r="B31" s="70" t="s">
        <v>50</v>
      </c>
      <c r="C31" s="70" t="s">
        <v>66</v>
      </c>
      <c r="D31" s="71"/>
      <c r="E31" s="72"/>
      <c r="F31" s="70" t="s">
        <v>51</v>
      </c>
      <c r="G31" s="59">
        <v>45323</v>
      </c>
      <c r="H31" s="74">
        <v>5</v>
      </c>
      <c r="J31" s="75">
        <v>30</v>
      </c>
      <c r="K31" s="38">
        <v>2614.89</v>
      </c>
      <c r="L31" s="62"/>
      <c r="M31" s="43">
        <v>0</v>
      </c>
      <c r="N31" s="62">
        <f t="shared" si="0"/>
        <v>2614.89</v>
      </c>
      <c r="O31" s="162">
        <v>10</v>
      </c>
      <c r="P31" s="114">
        <v>14</v>
      </c>
      <c r="Q31" s="43">
        <f t="shared" si="4"/>
        <v>2280.7651666666666</v>
      </c>
      <c r="R31" s="44"/>
      <c r="T31" s="45"/>
    </row>
    <row r="32" spans="1:20" ht="22.5" customHeight="1">
      <c r="A32" s="57">
        <v>22</v>
      </c>
      <c r="B32" s="41" t="s">
        <v>183</v>
      </c>
      <c r="C32" s="41" t="s">
        <v>184</v>
      </c>
      <c r="D32" s="42"/>
      <c r="E32" s="14"/>
      <c r="F32" s="123" t="s">
        <v>215</v>
      </c>
      <c r="G32" s="59">
        <v>45323</v>
      </c>
      <c r="H32" s="122">
        <v>5</v>
      </c>
      <c r="I32" s="15">
        <v>30</v>
      </c>
      <c r="J32" s="75">
        <v>30</v>
      </c>
      <c r="K32" s="68">
        <v>2939.05</v>
      </c>
      <c r="L32" s="69"/>
      <c r="M32" s="43">
        <v>0</v>
      </c>
      <c r="N32" s="62">
        <f t="shared" si="0"/>
        <v>2939.05</v>
      </c>
      <c r="O32" s="162">
        <v>10</v>
      </c>
      <c r="P32" s="114">
        <v>14</v>
      </c>
      <c r="Q32" s="43">
        <f t="shared" si="4"/>
        <v>2563.5047222222224</v>
      </c>
      <c r="R32" s="44"/>
      <c r="T32" s="45"/>
    </row>
    <row r="33" spans="1:22" s="177" customFormat="1" ht="22.5" customHeight="1">
      <c r="A33" s="164">
        <v>23</v>
      </c>
      <c r="B33" s="168" t="s">
        <v>43</v>
      </c>
      <c r="C33" s="168" t="s">
        <v>124</v>
      </c>
      <c r="D33" s="178"/>
      <c r="E33" s="170"/>
      <c r="F33" s="168" t="s">
        <v>36</v>
      </c>
      <c r="G33" s="169">
        <v>45323</v>
      </c>
      <c r="H33" s="179">
        <v>4</v>
      </c>
      <c r="I33" s="180"/>
      <c r="J33" s="181">
        <v>30</v>
      </c>
      <c r="K33" s="182">
        <v>2500</v>
      </c>
      <c r="L33" s="183"/>
      <c r="M33" s="163">
        <v>0</v>
      </c>
      <c r="N33" s="172">
        <f t="shared" si="0"/>
        <v>2500</v>
      </c>
      <c r="O33" s="173">
        <v>10</v>
      </c>
      <c r="P33" s="174">
        <v>20</v>
      </c>
      <c r="Q33" s="163">
        <f>+(N33/12*10)+(N33/12/30*20)</f>
        <v>2222.2222222222222</v>
      </c>
      <c r="R33" s="175"/>
      <c r="S33" s="176"/>
      <c r="T33" s="171"/>
    </row>
    <row r="34" spans="1:22" s="177" customFormat="1" ht="22.5" customHeight="1">
      <c r="A34" s="164">
        <v>24</v>
      </c>
      <c r="B34" s="168" t="s">
        <v>37</v>
      </c>
      <c r="C34" s="168" t="s">
        <v>38</v>
      </c>
      <c r="D34" s="178"/>
      <c r="E34" s="170"/>
      <c r="F34" s="168" t="s">
        <v>34</v>
      </c>
      <c r="G34" s="169">
        <v>45323</v>
      </c>
      <c r="H34" s="179">
        <v>5</v>
      </c>
      <c r="I34" s="180"/>
      <c r="J34" s="181">
        <v>30</v>
      </c>
      <c r="K34" s="182">
        <v>2500</v>
      </c>
      <c r="L34" s="183"/>
      <c r="M34" s="163">
        <v>0</v>
      </c>
      <c r="N34" s="172">
        <f t="shared" si="0"/>
        <v>2500</v>
      </c>
      <c r="O34" s="173">
        <v>10</v>
      </c>
      <c r="P34" s="174">
        <v>20</v>
      </c>
      <c r="Q34" s="163">
        <f>+(N34/12*10)+(N34/12/30*20)</f>
        <v>2222.2222222222222</v>
      </c>
      <c r="R34" s="175"/>
      <c r="S34" s="176"/>
      <c r="T34" s="171"/>
    </row>
    <row r="35" spans="1:22" s="18" customFormat="1" ht="21" customHeight="1">
      <c r="A35" s="33"/>
      <c r="B35" s="34"/>
      <c r="C35" s="35" t="s">
        <v>22</v>
      </c>
      <c r="D35" s="34"/>
      <c r="E35" s="36"/>
      <c r="F35" s="34"/>
      <c r="G35" s="34"/>
      <c r="H35" s="65"/>
      <c r="I35" s="65"/>
      <c r="J35" s="37"/>
      <c r="K35" s="32">
        <f>SUM(K11:K34)</f>
        <v>66438.67</v>
      </c>
      <c r="L35" s="32"/>
      <c r="M35" s="32">
        <f t="shared" ref="M35" si="5">SUM(M15:M31)</f>
        <v>825</v>
      </c>
      <c r="N35" s="32">
        <f>SUM(N11:N34)</f>
        <v>67263.67</v>
      </c>
      <c r="O35" s="32"/>
      <c r="P35" s="32"/>
      <c r="Q35" s="32">
        <f>SUM(Q11:Q34)</f>
        <v>56319.93022222221</v>
      </c>
      <c r="R35" s="19"/>
    </row>
    <row r="36" spans="1:22" s="18" customFormat="1" ht="9.75" customHeigh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 s="23">
        <f>SUM(P35:P35)</f>
        <v>0</v>
      </c>
      <c r="Q36" s="23"/>
    </row>
    <row r="37" spans="1:22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 s="46"/>
      <c r="O37" s="46"/>
      <c r="P37"/>
      <c r="Q37"/>
      <c r="R37"/>
      <c r="U37"/>
      <c r="V37"/>
    </row>
    <row r="38" spans="1:22" s="18" customFormat="1">
      <c r="A38"/>
      <c r="B38"/>
      <c r="C38"/>
      <c r="D38"/>
      <c r="E38" s="9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22" s="18" customFormat="1">
      <c r="A39"/>
      <c r="B39"/>
      <c r="C39"/>
      <c r="D39"/>
      <c r="E39" s="9"/>
      <c r="F39"/>
      <c r="G39"/>
      <c r="H39"/>
      <c r="I39"/>
      <c r="J39"/>
      <c r="K39" t="s">
        <v>240</v>
      </c>
      <c r="L39"/>
      <c r="M39"/>
      <c r="N39"/>
      <c r="O39"/>
      <c r="P39"/>
      <c r="Q39"/>
      <c r="R39"/>
    </row>
  </sheetData>
  <mergeCells count="17">
    <mergeCell ref="A4:R4"/>
    <mergeCell ref="A5:R5"/>
    <mergeCell ref="A6:R6"/>
    <mergeCell ref="A8:A10"/>
    <mergeCell ref="B8:B10"/>
    <mergeCell ref="C8:C10"/>
    <mergeCell ref="D8:D10"/>
    <mergeCell ref="E8:E10"/>
    <mergeCell ref="F8:F10"/>
    <mergeCell ref="G8:G10"/>
    <mergeCell ref="R8:R10"/>
    <mergeCell ref="O8:O10"/>
    <mergeCell ref="K8:K10"/>
    <mergeCell ref="M8:M10"/>
    <mergeCell ref="N8:N10"/>
    <mergeCell ref="P8:P10"/>
    <mergeCell ref="Q8:Q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Z39"/>
  <sheetViews>
    <sheetView zoomScale="106" zoomScaleNormal="106" workbookViewId="0">
      <selection activeCell="C32" sqref="C32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241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59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61" t="s">
        <v>15</v>
      </c>
      <c r="K9" s="235"/>
      <c r="L9" s="160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60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s="177" customFormat="1" ht="22.5" customHeight="1">
      <c r="A11" s="164">
        <v>1</v>
      </c>
      <c r="B11" s="189" t="s">
        <v>99</v>
      </c>
      <c r="C11" s="190" t="s">
        <v>122</v>
      </c>
      <c r="D11" s="191"/>
      <c r="E11" s="191"/>
      <c r="F11" s="192" t="s">
        <v>100</v>
      </c>
      <c r="G11" s="169">
        <v>45323</v>
      </c>
      <c r="H11" s="170">
        <v>5</v>
      </c>
      <c r="I11" s="171"/>
      <c r="J11" s="193">
        <v>20</v>
      </c>
      <c r="K11" s="194">
        <f>+(2587.36/30*20)</f>
        <v>1724.9066666666668</v>
      </c>
      <c r="L11" s="195"/>
      <c r="M11" s="163">
        <v>0</v>
      </c>
      <c r="N11" s="172">
        <f t="shared" ref="N11:N34" si="0">K11+M11</f>
        <v>1724.9066666666668</v>
      </c>
      <c r="O11" s="172">
        <f t="shared" ref="O11:O34" si="1">+N11*0.1</f>
        <v>172.4906666666667</v>
      </c>
      <c r="P11" s="172">
        <f t="shared" ref="P11:P34" si="2">+N11*0.0171</f>
        <v>29.495904000000003</v>
      </c>
      <c r="Q11" s="172">
        <f t="shared" ref="Q11:Q34" si="3">+N11*0.005</f>
        <v>8.6245333333333338</v>
      </c>
      <c r="R11" s="172">
        <f t="shared" ref="R11:R34" si="4">N11*0.5%</f>
        <v>8.6245333333333338</v>
      </c>
      <c r="S11" s="163">
        <v>0</v>
      </c>
      <c r="T11" s="163">
        <f t="shared" ref="T11:T34" si="5">+O11+P11+Q11+R11+S11</f>
        <v>219.23563733333339</v>
      </c>
      <c r="U11" s="163">
        <f t="shared" ref="U11:U34" si="6">+N11-T11</f>
        <v>1505.6710293333333</v>
      </c>
      <c r="V11" s="191"/>
      <c r="W11" s="176"/>
      <c r="X11" s="176"/>
    </row>
    <row r="12" spans="1:24" ht="22.5" customHeight="1">
      <c r="A12" s="57">
        <v>2</v>
      </c>
      <c r="B12" s="56" t="s">
        <v>230</v>
      </c>
      <c r="C12" s="66" t="s">
        <v>231</v>
      </c>
      <c r="D12" s="55"/>
      <c r="E12" s="55"/>
      <c r="F12" s="123" t="s">
        <v>232</v>
      </c>
      <c r="G12" s="59">
        <v>45523</v>
      </c>
      <c r="H12" s="14">
        <v>5</v>
      </c>
      <c r="I12" s="45"/>
      <c r="J12" s="58">
        <v>14</v>
      </c>
      <c r="K12" s="155">
        <f>+(2500/30*14)</f>
        <v>1166.6666666666665</v>
      </c>
      <c r="L12" s="60"/>
      <c r="M12" s="43">
        <v>0</v>
      </c>
      <c r="N12" s="62">
        <f t="shared" si="0"/>
        <v>1166.6666666666665</v>
      </c>
      <c r="O12" s="62">
        <f t="shared" si="1"/>
        <v>116.66666666666666</v>
      </c>
      <c r="P12" s="62">
        <f t="shared" si="2"/>
        <v>19.95</v>
      </c>
      <c r="Q12" s="62">
        <f t="shared" si="3"/>
        <v>5.833333333333333</v>
      </c>
      <c r="R12" s="62">
        <f t="shared" si="4"/>
        <v>5.833333333333333</v>
      </c>
      <c r="S12" s="43">
        <v>0</v>
      </c>
      <c r="T12" s="43">
        <f t="shared" si="5"/>
        <v>148.28333333333333</v>
      </c>
      <c r="U12" s="43">
        <f t="shared" si="6"/>
        <v>1018.3833333333332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185</v>
      </c>
      <c r="G13" s="59">
        <v>45518</v>
      </c>
      <c r="H13" s="14">
        <v>5</v>
      </c>
      <c r="I13" s="45"/>
      <c r="J13" s="58">
        <v>14</v>
      </c>
      <c r="K13" s="155">
        <f>+(3000/30*14)</f>
        <v>1400</v>
      </c>
      <c r="L13" s="60"/>
      <c r="M13" s="43">
        <v>0</v>
      </c>
      <c r="N13" s="62">
        <f t="shared" si="0"/>
        <v>1400</v>
      </c>
      <c r="O13" s="62">
        <f t="shared" si="1"/>
        <v>140</v>
      </c>
      <c r="P13" s="62">
        <f t="shared" si="2"/>
        <v>23.94</v>
      </c>
      <c r="Q13" s="62">
        <f t="shared" si="3"/>
        <v>7</v>
      </c>
      <c r="R13" s="62">
        <f t="shared" si="4"/>
        <v>7</v>
      </c>
      <c r="S13" s="43">
        <v>0</v>
      </c>
      <c r="T13" s="43">
        <f t="shared" si="5"/>
        <v>177.94</v>
      </c>
      <c r="U13" s="43">
        <f t="shared" si="6"/>
        <v>1222.06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14</v>
      </c>
      <c r="K14" s="62">
        <f>+(2546.16/30*14)</f>
        <v>1188.2080000000001</v>
      </c>
      <c r="L14" s="60"/>
      <c r="M14" s="43">
        <v>0</v>
      </c>
      <c r="N14" s="62">
        <f t="shared" si="0"/>
        <v>1188.2080000000001</v>
      </c>
      <c r="O14" s="62">
        <f t="shared" si="1"/>
        <v>118.82080000000002</v>
      </c>
      <c r="P14" s="62">
        <f t="shared" si="2"/>
        <v>20.318356800000004</v>
      </c>
      <c r="Q14" s="62">
        <f t="shared" si="3"/>
        <v>5.9410400000000001</v>
      </c>
      <c r="R14" s="62">
        <f t="shared" si="4"/>
        <v>5.9410400000000001</v>
      </c>
      <c r="S14" s="43">
        <v>0</v>
      </c>
      <c r="T14" s="43">
        <f t="shared" si="5"/>
        <v>151.0212368</v>
      </c>
      <c r="U14" s="43">
        <f t="shared" si="6"/>
        <v>1037.1867632000001</v>
      </c>
      <c r="V14" s="55"/>
    </row>
    <row r="15" spans="1:24" ht="22.5" customHeight="1">
      <c r="A15" s="57">
        <v>5</v>
      </c>
      <c r="B15" s="41" t="s">
        <v>44</v>
      </c>
      <c r="C15" s="41" t="s">
        <v>61</v>
      </c>
      <c r="D15" s="42"/>
      <c r="E15" s="14"/>
      <c r="F15" s="41" t="s">
        <v>49</v>
      </c>
      <c r="G15" s="59">
        <v>45323</v>
      </c>
      <c r="H15" s="63">
        <v>6</v>
      </c>
      <c r="I15" s="64"/>
      <c r="J15" s="14">
        <v>14</v>
      </c>
      <c r="K15" s="62">
        <f>+(4310.43/30*14)</f>
        <v>2011.5340000000001</v>
      </c>
      <c r="L15" s="62"/>
      <c r="M15" s="43">
        <v>0</v>
      </c>
      <c r="N15" s="62">
        <f t="shared" si="0"/>
        <v>2011.5340000000001</v>
      </c>
      <c r="O15" s="62">
        <f t="shared" si="1"/>
        <v>201.15340000000003</v>
      </c>
      <c r="P15" s="62">
        <f t="shared" si="2"/>
        <v>34.397231400000003</v>
      </c>
      <c r="Q15" s="62">
        <f t="shared" si="3"/>
        <v>10.05767</v>
      </c>
      <c r="R15" s="62">
        <f t="shared" si="4"/>
        <v>10.05767</v>
      </c>
      <c r="S15" s="43">
        <v>0</v>
      </c>
      <c r="T15" s="43">
        <f t="shared" si="5"/>
        <v>255.66597140000005</v>
      </c>
      <c r="U15" s="43">
        <f t="shared" si="6"/>
        <v>1755.8680286000001</v>
      </c>
      <c r="V15" s="44"/>
      <c r="X15" s="45"/>
    </row>
    <row r="16" spans="1:24" ht="22.5" customHeight="1">
      <c r="A16" s="57">
        <v>6</v>
      </c>
      <c r="B16" s="41" t="s">
        <v>79</v>
      </c>
      <c r="C16" s="41" t="s">
        <v>80</v>
      </c>
      <c r="D16" s="42"/>
      <c r="E16" s="14"/>
      <c r="F16" s="41" t="s">
        <v>148</v>
      </c>
      <c r="G16" s="59">
        <v>45323</v>
      </c>
      <c r="H16" s="40">
        <v>5</v>
      </c>
      <c r="J16" s="15">
        <v>14</v>
      </c>
      <c r="K16" s="38">
        <f>+(4239.76/30*14)</f>
        <v>1978.5546666666667</v>
      </c>
      <c r="L16" s="62"/>
      <c r="M16" s="43">
        <v>0</v>
      </c>
      <c r="N16" s="62">
        <f t="shared" si="0"/>
        <v>1978.5546666666667</v>
      </c>
      <c r="O16" s="62">
        <f t="shared" si="1"/>
        <v>197.85546666666667</v>
      </c>
      <c r="P16" s="62">
        <f t="shared" si="2"/>
        <v>33.833284800000001</v>
      </c>
      <c r="Q16" s="62">
        <f t="shared" si="3"/>
        <v>9.8927733333333343</v>
      </c>
      <c r="R16" s="62">
        <f t="shared" si="4"/>
        <v>9.8927733333333343</v>
      </c>
      <c r="S16" s="43">
        <v>0</v>
      </c>
      <c r="T16" s="43">
        <f t="shared" si="5"/>
        <v>251.47429813333335</v>
      </c>
      <c r="U16" s="43">
        <f t="shared" si="6"/>
        <v>1727.0803685333333</v>
      </c>
      <c r="V16" s="44"/>
      <c r="X16" s="45"/>
    </row>
    <row r="17" spans="1:24" s="177" customFormat="1" ht="22.5" customHeight="1">
      <c r="A17" s="164">
        <v>7</v>
      </c>
      <c r="B17" s="188" t="s">
        <v>19</v>
      </c>
      <c r="C17" s="188" t="s">
        <v>20</v>
      </c>
      <c r="D17" s="178"/>
      <c r="E17" s="170"/>
      <c r="F17" s="168" t="s">
        <v>178</v>
      </c>
      <c r="G17" s="169">
        <v>45323</v>
      </c>
      <c r="H17" s="179">
        <v>5</v>
      </c>
      <c r="J17" s="184">
        <v>20</v>
      </c>
      <c r="K17" s="185">
        <f>+(3022.72/30*20)</f>
        <v>2015.1466666666665</v>
      </c>
      <c r="L17" s="172"/>
      <c r="M17" s="163">
        <v>0</v>
      </c>
      <c r="N17" s="172">
        <f t="shared" si="0"/>
        <v>2015.1466666666665</v>
      </c>
      <c r="O17" s="172">
        <f t="shared" si="1"/>
        <v>201.51466666666667</v>
      </c>
      <c r="P17" s="172">
        <f t="shared" si="2"/>
        <v>34.459007999999997</v>
      </c>
      <c r="Q17" s="172">
        <f t="shared" si="3"/>
        <v>10.075733333333332</v>
      </c>
      <c r="R17" s="172">
        <f t="shared" si="4"/>
        <v>10.075733333333332</v>
      </c>
      <c r="S17" s="163">
        <v>0</v>
      </c>
      <c r="T17" s="163">
        <f t="shared" si="5"/>
        <v>256.12514133333337</v>
      </c>
      <c r="U17" s="163">
        <f t="shared" si="6"/>
        <v>1759.0215253333331</v>
      </c>
      <c r="V17" s="175"/>
      <c r="W17" s="176"/>
      <c r="X17" s="171"/>
    </row>
    <row r="18" spans="1:24" ht="22.5" customHeight="1">
      <c r="A18" s="57">
        <v>8</v>
      </c>
      <c r="B18" s="110" t="s">
        <v>101</v>
      </c>
      <c r="C18" s="110" t="s">
        <v>102</v>
      </c>
      <c r="D18" s="119"/>
      <c r="E18" s="120" t="s">
        <v>180</v>
      </c>
      <c r="F18" s="121" t="s">
        <v>103</v>
      </c>
      <c r="G18" s="59">
        <v>45323</v>
      </c>
      <c r="H18" s="40">
        <v>5</v>
      </c>
      <c r="J18" s="15">
        <v>14</v>
      </c>
      <c r="K18" s="38">
        <f>+(3159.05/30*14)</f>
        <v>1474.2233333333334</v>
      </c>
      <c r="L18" s="62"/>
      <c r="M18" s="43">
        <v>0</v>
      </c>
      <c r="N18" s="62">
        <f t="shared" si="0"/>
        <v>1474.2233333333334</v>
      </c>
      <c r="O18" s="62">
        <f t="shared" si="1"/>
        <v>147.42233333333334</v>
      </c>
      <c r="P18" s="62">
        <f t="shared" si="2"/>
        <v>25.209219000000001</v>
      </c>
      <c r="Q18" s="62">
        <f t="shared" si="3"/>
        <v>7.3711166666666665</v>
      </c>
      <c r="R18" s="62">
        <f t="shared" si="4"/>
        <v>7.3711166666666665</v>
      </c>
      <c r="S18" s="43">
        <v>0</v>
      </c>
      <c r="T18" s="43">
        <f t="shared" si="5"/>
        <v>187.37378566666666</v>
      </c>
      <c r="U18" s="43">
        <f t="shared" si="6"/>
        <v>1286.8495476666667</v>
      </c>
      <c r="V18" s="44"/>
      <c r="X18" s="45"/>
    </row>
    <row r="19" spans="1:24" ht="22.5" customHeight="1">
      <c r="A19" s="57">
        <v>9</v>
      </c>
      <c r="B19" s="41" t="s">
        <v>105</v>
      </c>
      <c r="C19" s="41" t="s">
        <v>104</v>
      </c>
      <c r="D19" s="42"/>
      <c r="E19" s="14"/>
      <c r="F19" s="41" t="s">
        <v>32</v>
      </c>
      <c r="G19" s="59">
        <v>45323</v>
      </c>
      <c r="H19" s="40">
        <v>5</v>
      </c>
      <c r="J19" s="15">
        <v>14</v>
      </c>
      <c r="K19" s="38">
        <f>+(2546.16/30*14)</f>
        <v>1188.2080000000001</v>
      </c>
      <c r="L19" s="62"/>
      <c r="M19" s="43">
        <v>0</v>
      </c>
      <c r="N19" s="62">
        <f t="shared" si="0"/>
        <v>1188.2080000000001</v>
      </c>
      <c r="O19" s="62">
        <f t="shared" si="1"/>
        <v>118.82080000000002</v>
      </c>
      <c r="P19" s="62">
        <f t="shared" si="2"/>
        <v>20.318356800000004</v>
      </c>
      <c r="Q19" s="62">
        <f t="shared" si="3"/>
        <v>5.9410400000000001</v>
      </c>
      <c r="R19" s="62">
        <f t="shared" si="4"/>
        <v>5.9410400000000001</v>
      </c>
      <c r="S19" s="43">
        <v>0</v>
      </c>
      <c r="T19" s="43">
        <f t="shared" si="5"/>
        <v>151.0212368</v>
      </c>
      <c r="U19" s="43">
        <f t="shared" si="6"/>
        <v>1037.1867632000001</v>
      </c>
      <c r="V19" s="44"/>
      <c r="X19" s="45"/>
    </row>
    <row r="20" spans="1:24" ht="22.5" customHeight="1">
      <c r="A20" s="57">
        <v>10</v>
      </c>
      <c r="B20" s="110" t="s">
        <v>69</v>
      </c>
      <c r="C20" s="111" t="s">
        <v>70</v>
      </c>
      <c r="D20" s="127"/>
      <c r="E20" s="128" t="s">
        <v>199</v>
      </c>
      <c r="F20" s="128" t="s">
        <v>199</v>
      </c>
      <c r="G20" s="59">
        <v>45323</v>
      </c>
      <c r="H20" s="40">
        <v>5</v>
      </c>
      <c r="J20" s="15">
        <v>14</v>
      </c>
      <c r="K20" s="38">
        <f>+(2652.25/30*14)</f>
        <v>1237.7166666666667</v>
      </c>
      <c r="L20" s="62"/>
      <c r="M20" s="43">
        <v>0</v>
      </c>
      <c r="N20" s="62">
        <f t="shared" si="0"/>
        <v>1237.7166666666667</v>
      </c>
      <c r="O20" s="62">
        <f t="shared" si="1"/>
        <v>123.77166666666668</v>
      </c>
      <c r="P20" s="62">
        <f t="shared" si="2"/>
        <v>21.164955000000003</v>
      </c>
      <c r="Q20" s="62">
        <f t="shared" si="3"/>
        <v>6.1885833333333338</v>
      </c>
      <c r="R20" s="62">
        <f t="shared" si="4"/>
        <v>6.1885833333333338</v>
      </c>
      <c r="S20" s="43">
        <v>0</v>
      </c>
      <c r="T20" s="43">
        <f t="shared" si="5"/>
        <v>157.31378833333332</v>
      </c>
      <c r="U20" s="43">
        <f t="shared" si="6"/>
        <v>1080.4028783333333</v>
      </c>
      <c r="V20" s="44"/>
      <c r="X20" s="45"/>
    </row>
    <row r="21" spans="1:24" s="177" customFormat="1" ht="22.5" customHeight="1">
      <c r="A21" s="164">
        <v>11</v>
      </c>
      <c r="B21" s="165" t="s">
        <v>85</v>
      </c>
      <c r="C21" s="165" t="s">
        <v>86</v>
      </c>
      <c r="D21" s="166"/>
      <c r="E21" s="167" t="s">
        <v>40</v>
      </c>
      <c r="F21" s="186" t="s">
        <v>40</v>
      </c>
      <c r="G21" s="169">
        <v>45323</v>
      </c>
      <c r="H21" s="170">
        <v>5</v>
      </c>
      <c r="I21" s="163">
        <v>2122</v>
      </c>
      <c r="J21" s="170">
        <v>20</v>
      </c>
      <c r="K21" s="172">
        <f>+(2500/30*20)</f>
        <v>1666.6666666666665</v>
      </c>
      <c r="L21" s="172"/>
      <c r="M21" s="163">
        <v>0</v>
      </c>
      <c r="N21" s="172">
        <f t="shared" si="0"/>
        <v>1666.6666666666665</v>
      </c>
      <c r="O21" s="172">
        <f t="shared" si="1"/>
        <v>166.66666666666666</v>
      </c>
      <c r="P21" s="172">
        <f t="shared" si="2"/>
        <v>28.5</v>
      </c>
      <c r="Q21" s="172">
        <f t="shared" si="3"/>
        <v>8.3333333333333321</v>
      </c>
      <c r="R21" s="172">
        <f t="shared" si="4"/>
        <v>8.3333333333333321</v>
      </c>
      <c r="S21" s="163">
        <v>0</v>
      </c>
      <c r="T21" s="163">
        <f t="shared" si="5"/>
        <v>211.83333333333334</v>
      </c>
      <c r="U21" s="163">
        <f t="shared" si="6"/>
        <v>1454.8333333333333</v>
      </c>
      <c r="V21" s="175"/>
      <c r="W21" s="176"/>
      <c r="X21" s="171"/>
    </row>
    <row r="22" spans="1:24" s="177" customFormat="1" ht="22.5" customHeight="1">
      <c r="A22" s="164">
        <v>12</v>
      </c>
      <c r="B22" s="168" t="s">
        <v>45</v>
      </c>
      <c r="C22" s="168" t="s">
        <v>46</v>
      </c>
      <c r="D22" s="178"/>
      <c r="E22" s="170"/>
      <c r="F22" s="168" t="s">
        <v>47</v>
      </c>
      <c r="G22" s="186">
        <v>43101</v>
      </c>
      <c r="H22" s="170">
        <v>6</v>
      </c>
      <c r="I22" s="171"/>
      <c r="J22" s="170">
        <v>20</v>
      </c>
      <c r="K22" s="172">
        <f>+(2500/30*20)</f>
        <v>1666.6666666666665</v>
      </c>
      <c r="L22" s="172"/>
      <c r="M22" s="163">
        <f>+(825/30*20)</f>
        <v>550</v>
      </c>
      <c r="N22" s="172">
        <f t="shared" si="0"/>
        <v>2216.6666666666665</v>
      </c>
      <c r="O22" s="172">
        <f t="shared" si="1"/>
        <v>221.66666666666666</v>
      </c>
      <c r="P22" s="172">
        <f t="shared" si="2"/>
        <v>37.905000000000001</v>
      </c>
      <c r="Q22" s="172">
        <f t="shared" si="3"/>
        <v>11.083333333333332</v>
      </c>
      <c r="R22" s="172">
        <f t="shared" si="4"/>
        <v>11.083333333333332</v>
      </c>
      <c r="S22" s="163">
        <v>0</v>
      </c>
      <c r="T22" s="163">
        <f t="shared" si="5"/>
        <v>281.73833333333329</v>
      </c>
      <c r="U22" s="163">
        <f>+N22-T22</f>
        <v>1934.9283333333333</v>
      </c>
      <c r="V22" s="175"/>
      <c r="W22" s="176"/>
      <c r="X22" s="187"/>
    </row>
    <row r="23" spans="1:24" ht="22.5" customHeight="1">
      <c r="A23" s="57">
        <v>13</v>
      </c>
      <c r="B23" s="41" t="s">
        <v>31</v>
      </c>
      <c r="C23" s="41" t="s">
        <v>62</v>
      </c>
      <c r="D23" s="42"/>
      <c r="E23" s="14"/>
      <c r="F23" s="41" t="s">
        <v>32</v>
      </c>
      <c r="G23" s="59">
        <v>45323</v>
      </c>
      <c r="H23" s="40">
        <v>5</v>
      </c>
      <c r="J23" s="15">
        <v>14</v>
      </c>
      <c r="K23" s="38">
        <f>+(2724.85/30*14)</f>
        <v>1271.5966666666666</v>
      </c>
      <c r="L23" s="62"/>
      <c r="M23" s="43">
        <v>0</v>
      </c>
      <c r="N23" s="62">
        <f t="shared" si="0"/>
        <v>1271.5966666666666</v>
      </c>
      <c r="O23" s="62">
        <f t="shared" si="1"/>
        <v>127.15966666666667</v>
      </c>
      <c r="P23" s="62">
        <f t="shared" si="2"/>
        <v>21.744302999999999</v>
      </c>
      <c r="Q23" s="62">
        <f t="shared" si="3"/>
        <v>6.3579833333333333</v>
      </c>
      <c r="R23" s="62">
        <f t="shared" si="4"/>
        <v>6.3579833333333333</v>
      </c>
      <c r="S23" s="43">
        <v>0</v>
      </c>
      <c r="T23" s="43">
        <f t="shared" si="5"/>
        <v>161.6199363333333</v>
      </c>
      <c r="U23" s="43">
        <f t="shared" si="6"/>
        <v>1109.9767303333333</v>
      </c>
      <c r="V23" s="44"/>
      <c r="X23" s="45"/>
    </row>
    <row r="24" spans="1:24" ht="22.5" customHeight="1">
      <c r="A24" s="57">
        <v>14</v>
      </c>
      <c r="B24" s="110" t="s">
        <v>149</v>
      </c>
      <c r="C24" s="111" t="s">
        <v>150</v>
      </c>
      <c r="D24" s="42"/>
      <c r="E24" s="14"/>
      <c r="F24" s="112" t="s">
        <v>36</v>
      </c>
      <c r="G24" s="59">
        <v>45323</v>
      </c>
      <c r="H24" s="40">
        <v>4</v>
      </c>
      <c r="J24" s="15">
        <v>14</v>
      </c>
      <c r="K24" s="38">
        <f>+(2500/30*14)</f>
        <v>1166.6666666666665</v>
      </c>
      <c r="L24" s="62"/>
      <c r="M24" s="43">
        <v>0</v>
      </c>
      <c r="N24" s="62">
        <f t="shared" si="0"/>
        <v>1166.6666666666665</v>
      </c>
      <c r="O24" s="62">
        <f t="shared" si="1"/>
        <v>116.66666666666666</v>
      </c>
      <c r="P24" s="62">
        <f t="shared" si="2"/>
        <v>19.95</v>
      </c>
      <c r="Q24" s="62">
        <f t="shared" si="3"/>
        <v>5.833333333333333</v>
      </c>
      <c r="R24" s="62">
        <f t="shared" si="4"/>
        <v>5.833333333333333</v>
      </c>
      <c r="S24" s="43">
        <v>0</v>
      </c>
      <c r="T24" s="43">
        <f t="shared" si="5"/>
        <v>148.28333333333333</v>
      </c>
      <c r="U24" s="43">
        <f t="shared" si="6"/>
        <v>1018.3833333333332</v>
      </c>
      <c r="V24" s="44"/>
      <c r="X24" s="45"/>
    </row>
    <row r="25" spans="1:24" s="177" customFormat="1" ht="22.5" customHeight="1">
      <c r="A25" s="164">
        <v>15</v>
      </c>
      <c r="B25" s="168" t="s">
        <v>52</v>
      </c>
      <c r="C25" s="168" t="s">
        <v>128</v>
      </c>
      <c r="D25" s="178"/>
      <c r="E25" s="170"/>
      <c r="F25" s="168" t="s">
        <v>40</v>
      </c>
      <c r="G25" s="169">
        <v>45323</v>
      </c>
      <c r="H25" s="179">
        <v>5</v>
      </c>
      <c r="J25" s="184">
        <v>20</v>
      </c>
      <c r="K25" s="185">
        <f>+(2503.67/30*20)</f>
        <v>1669.1133333333335</v>
      </c>
      <c r="L25" s="172"/>
      <c r="M25" s="163">
        <v>0</v>
      </c>
      <c r="N25" s="172">
        <f t="shared" si="0"/>
        <v>1669.1133333333335</v>
      </c>
      <c r="O25" s="172">
        <f t="shared" si="1"/>
        <v>166.91133333333335</v>
      </c>
      <c r="P25" s="172">
        <f t="shared" si="2"/>
        <v>28.541838000000002</v>
      </c>
      <c r="Q25" s="172">
        <f t="shared" si="3"/>
        <v>8.3455666666666666</v>
      </c>
      <c r="R25" s="172">
        <f t="shared" si="4"/>
        <v>8.3455666666666666</v>
      </c>
      <c r="S25" s="163">
        <v>0</v>
      </c>
      <c r="T25" s="163">
        <f t="shared" si="5"/>
        <v>212.14430466666667</v>
      </c>
      <c r="U25" s="163">
        <f t="shared" si="6"/>
        <v>1456.9690286666669</v>
      </c>
      <c r="V25" s="175"/>
      <c r="W25" s="176"/>
      <c r="X25" s="171"/>
    </row>
    <row r="26" spans="1:24" s="177" customFormat="1" ht="22.5" customHeight="1">
      <c r="A26" s="164">
        <v>16</v>
      </c>
      <c r="B26" s="165" t="s">
        <v>96</v>
      </c>
      <c r="C26" s="165" t="s">
        <v>181</v>
      </c>
      <c r="D26" s="166"/>
      <c r="E26" s="167" t="s">
        <v>40</v>
      </c>
      <c r="F26" s="168" t="s">
        <v>40</v>
      </c>
      <c r="G26" s="169">
        <v>45323</v>
      </c>
      <c r="H26" s="170">
        <v>5</v>
      </c>
      <c r="I26" s="171"/>
      <c r="J26" s="170">
        <v>20</v>
      </c>
      <c r="K26" s="172">
        <f>+(2500/30*20)</f>
        <v>1666.6666666666665</v>
      </c>
      <c r="L26" s="172"/>
      <c r="M26" s="163">
        <v>0</v>
      </c>
      <c r="N26" s="172">
        <f t="shared" si="0"/>
        <v>1666.6666666666665</v>
      </c>
      <c r="O26" s="172">
        <f t="shared" si="1"/>
        <v>166.66666666666666</v>
      </c>
      <c r="P26" s="172">
        <f t="shared" si="2"/>
        <v>28.5</v>
      </c>
      <c r="Q26" s="172">
        <f t="shared" si="3"/>
        <v>8.3333333333333321</v>
      </c>
      <c r="R26" s="172">
        <f t="shared" si="4"/>
        <v>8.3333333333333321</v>
      </c>
      <c r="S26" s="163">
        <v>0</v>
      </c>
      <c r="T26" s="163">
        <f t="shared" si="5"/>
        <v>211.83333333333334</v>
      </c>
      <c r="U26" s="163">
        <f t="shared" si="6"/>
        <v>1454.8333333333333</v>
      </c>
      <c r="V26" s="175"/>
      <c r="W26" s="176"/>
      <c r="X26" s="171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45323</v>
      </c>
      <c r="H27" s="40">
        <v>4</v>
      </c>
      <c r="J27" s="15">
        <v>14</v>
      </c>
      <c r="K27" s="38">
        <v>1166.67</v>
      </c>
      <c r="L27" s="62"/>
      <c r="M27" s="43">
        <v>0</v>
      </c>
      <c r="N27" s="62">
        <f t="shared" si="0"/>
        <v>1166.67</v>
      </c>
      <c r="O27" s="62">
        <f t="shared" si="1"/>
        <v>116.66700000000002</v>
      </c>
      <c r="P27" s="62">
        <f t="shared" si="2"/>
        <v>19.950057000000001</v>
      </c>
      <c r="Q27" s="62">
        <f t="shared" si="3"/>
        <v>5.8333500000000003</v>
      </c>
      <c r="R27" s="62">
        <f t="shared" si="4"/>
        <v>5.8333500000000003</v>
      </c>
      <c r="S27" s="43">
        <v>0</v>
      </c>
      <c r="T27" s="43">
        <f t="shared" si="5"/>
        <v>148.28375700000001</v>
      </c>
      <c r="U27" s="43">
        <f t="shared" si="6"/>
        <v>1018.386243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45323</v>
      </c>
      <c r="H28" s="40">
        <v>4</v>
      </c>
      <c r="J28" s="15">
        <v>14</v>
      </c>
      <c r="K28" s="38">
        <v>1166.67</v>
      </c>
      <c r="L28" s="62"/>
      <c r="M28" s="43">
        <v>0</v>
      </c>
      <c r="N28" s="62">
        <f t="shared" si="0"/>
        <v>1166.67</v>
      </c>
      <c r="O28" s="62">
        <f t="shared" si="1"/>
        <v>116.66700000000002</v>
      </c>
      <c r="P28" s="62">
        <f t="shared" si="2"/>
        <v>19.950057000000001</v>
      </c>
      <c r="Q28" s="62">
        <f t="shared" si="3"/>
        <v>5.8333500000000003</v>
      </c>
      <c r="R28" s="62">
        <f t="shared" si="4"/>
        <v>5.8333500000000003</v>
      </c>
      <c r="S28" s="43">
        <v>0</v>
      </c>
      <c r="T28" s="43">
        <f t="shared" si="5"/>
        <v>148.28375700000001</v>
      </c>
      <c r="U28" s="43">
        <f t="shared" si="6"/>
        <v>1018.386243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45323</v>
      </c>
      <c r="H29" s="40">
        <v>5</v>
      </c>
      <c r="J29" s="15">
        <v>14</v>
      </c>
      <c r="K29" s="38">
        <f>+(2546.16/30*14)</f>
        <v>1188.2080000000001</v>
      </c>
      <c r="L29" s="62"/>
      <c r="M29" s="43">
        <v>0</v>
      </c>
      <c r="N29" s="62">
        <f t="shared" si="0"/>
        <v>1188.2080000000001</v>
      </c>
      <c r="O29" s="62">
        <f t="shared" si="1"/>
        <v>118.82080000000002</v>
      </c>
      <c r="P29" s="62">
        <f t="shared" si="2"/>
        <v>20.318356800000004</v>
      </c>
      <c r="Q29" s="62">
        <f t="shared" si="3"/>
        <v>5.9410400000000001</v>
      </c>
      <c r="R29" s="62">
        <f t="shared" si="4"/>
        <v>5.9410400000000001</v>
      </c>
      <c r="S29" s="43">
        <v>0</v>
      </c>
      <c r="T29" s="43">
        <f t="shared" si="5"/>
        <v>151.0212368</v>
      </c>
      <c r="U29" s="43">
        <f t="shared" si="6"/>
        <v>1037.1867632000001</v>
      </c>
      <c r="V29" s="44"/>
      <c r="X29" s="45"/>
    </row>
    <row r="30" spans="1:24" ht="22.5" customHeight="1">
      <c r="A30" s="57">
        <v>20</v>
      </c>
      <c r="B30" s="41" t="s">
        <v>41</v>
      </c>
      <c r="C30" s="41" t="s">
        <v>72</v>
      </c>
      <c r="D30" s="42"/>
      <c r="E30" s="14"/>
      <c r="F30" s="41" t="s">
        <v>73</v>
      </c>
      <c r="G30" s="59">
        <v>45323</v>
      </c>
      <c r="H30" s="40">
        <v>5</v>
      </c>
      <c r="J30" s="15">
        <v>14</v>
      </c>
      <c r="K30" s="38">
        <v>1188.21</v>
      </c>
      <c r="L30" s="62"/>
      <c r="M30" s="43">
        <v>0</v>
      </c>
      <c r="N30" s="62">
        <f>K30+M30</f>
        <v>1188.21</v>
      </c>
      <c r="O30" s="62">
        <f>+N30*0.1</f>
        <v>118.82100000000001</v>
      </c>
      <c r="P30" s="62">
        <f>+N30*0.0171</f>
        <v>20.318391000000002</v>
      </c>
      <c r="Q30" s="62">
        <f>+N30*0.005</f>
        <v>5.9410500000000006</v>
      </c>
      <c r="R30" s="62">
        <f>N30*0.5%</f>
        <v>5.9410500000000006</v>
      </c>
      <c r="S30" s="43">
        <v>0</v>
      </c>
      <c r="T30" s="43">
        <f>+O30+P30+Q30+R30+S30</f>
        <v>151.021491</v>
      </c>
      <c r="U30" s="43">
        <f>+N30-T30</f>
        <v>1037.1885090000001</v>
      </c>
      <c r="V30" s="44"/>
      <c r="X30" s="45"/>
    </row>
    <row r="31" spans="1:24" ht="22.5" customHeight="1">
      <c r="A31" s="57">
        <v>21</v>
      </c>
      <c r="B31" s="70" t="s">
        <v>50</v>
      </c>
      <c r="C31" s="70" t="s">
        <v>66</v>
      </c>
      <c r="D31" s="71"/>
      <c r="E31" s="72"/>
      <c r="F31" s="70" t="s">
        <v>51</v>
      </c>
      <c r="G31" s="59">
        <v>45323</v>
      </c>
      <c r="H31" s="74">
        <v>5</v>
      </c>
      <c r="J31" s="75">
        <v>14</v>
      </c>
      <c r="K31" s="38">
        <f>+(2614.89/30*14)</f>
        <v>1220.2819999999999</v>
      </c>
      <c r="L31" s="62"/>
      <c r="M31" s="43">
        <v>0</v>
      </c>
      <c r="N31" s="62">
        <f t="shared" si="0"/>
        <v>1220.2819999999999</v>
      </c>
      <c r="O31" s="62">
        <f t="shared" si="1"/>
        <v>122.0282</v>
      </c>
      <c r="P31" s="62">
        <f t="shared" si="2"/>
        <v>20.866822199999998</v>
      </c>
      <c r="Q31" s="62">
        <f t="shared" si="3"/>
        <v>6.1014099999999996</v>
      </c>
      <c r="R31" s="62">
        <f t="shared" si="4"/>
        <v>6.1014099999999996</v>
      </c>
      <c r="S31" s="43">
        <v>0</v>
      </c>
      <c r="T31" s="43">
        <f t="shared" si="5"/>
        <v>155.09784219999997</v>
      </c>
      <c r="U31" s="43">
        <f t="shared" si="6"/>
        <v>1065.1841577999999</v>
      </c>
      <c r="V31" s="44"/>
      <c r="X31" s="45"/>
    </row>
    <row r="32" spans="1:24" ht="22.5" customHeight="1">
      <c r="A32" s="57">
        <v>22</v>
      </c>
      <c r="B32" s="41" t="s">
        <v>183</v>
      </c>
      <c r="C32" s="41" t="s">
        <v>184</v>
      </c>
      <c r="D32" s="42"/>
      <c r="E32" s="14"/>
      <c r="F32" s="123" t="s">
        <v>215</v>
      </c>
      <c r="G32" s="59">
        <v>45323</v>
      </c>
      <c r="H32" s="122">
        <v>5</v>
      </c>
      <c r="I32" s="15">
        <v>30</v>
      </c>
      <c r="J32" s="75">
        <v>14</v>
      </c>
      <c r="K32" s="68">
        <f>+(2939.05/30*14)</f>
        <v>1371.5566666666666</v>
      </c>
      <c r="L32" s="69"/>
      <c r="M32" s="43">
        <v>0</v>
      </c>
      <c r="N32" s="62">
        <f t="shared" si="0"/>
        <v>1371.5566666666666</v>
      </c>
      <c r="O32" s="62">
        <f t="shared" si="1"/>
        <v>137.15566666666666</v>
      </c>
      <c r="P32" s="62">
        <f t="shared" si="2"/>
        <v>23.453619</v>
      </c>
      <c r="Q32" s="62">
        <f t="shared" si="3"/>
        <v>6.8577833333333329</v>
      </c>
      <c r="R32" s="62">
        <f t="shared" si="4"/>
        <v>6.8577833333333329</v>
      </c>
      <c r="S32" s="43">
        <v>0</v>
      </c>
      <c r="T32" s="43">
        <f t="shared" si="5"/>
        <v>174.32485233333335</v>
      </c>
      <c r="U32" s="43">
        <f t="shared" si="6"/>
        <v>1197.2318143333332</v>
      </c>
      <c r="V32" s="44"/>
      <c r="X32" s="45"/>
    </row>
    <row r="33" spans="1:26" s="177" customFormat="1" ht="22.5" customHeight="1">
      <c r="A33" s="164">
        <v>23</v>
      </c>
      <c r="B33" s="168" t="s">
        <v>43</v>
      </c>
      <c r="C33" s="168" t="s">
        <v>124</v>
      </c>
      <c r="D33" s="178"/>
      <c r="E33" s="170"/>
      <c r="F33" s="168" t="s">
        <v>36</v>
      </c>
      <c r="G33" s="169">
        <v>45323</v>
      </c>
      <c r="H33" s="179">
        <v>4</v>
      </c>
      <c r="I33" s="180"/>
      <c r="J33" s="181">
        <v>20</v>
      </c>
      <c r="K33" s="182">
        <f>+(2500/30*20)</f>
        <v>1666.6666666666665</v>
      </c>
      <c r="L33" s="183"/>
      <c r="M33" s="163">
        <v>0</v>
      </c>
      <c r="N33" s="172">
        <f t="shared" si="0"/>
        <v>1666.6666666666665</v>
      </c>
      <c r="O33" s="172">
        <f t="shared" si="1"/>
        <v>166.66666666666666</v>
      </c>
      <c r="P33" s="172">
        <f t="shared" si="2"/>
        <v>28.5</v>
      </c>
      <c r="Q33" s="172">
        <f t="shared" si="3"/>
        <v>8.3333333333333321</v>
      </c>
      <c r="R33" s="172">
        <f t="shared" si="4"/>
        <v>8.3333333333333321</v>
      </c>
      <c r="S33" s="163">
        <v>0</v>
      </c>
      <c r="T33" s="163">
        <f t="shared" si="5"/>
        <v>211.83333333333334</v>
      </c>
      <c r="U33" s="163">
        <f t="shared" si="6"/>
        <v>1454.8333333333333</v>
      </c>
      <c r="V33" s="175"/>
      <c r="W33" s="176"/>
      <c r="X33" s="171"/>
    </row>
    <row r="34" spans="1:26" s="177" customFormat="1" ht="22.5" customHeight="1">
      <c r="A34" s="164">
        <v>24</v>
      </c>
      <c r="B34" s="168" t="s">
        <v>37</v>
      </c>
      <c r="C34" s="168" t="s">
        <v>38</v>
      </c>
      <c r="D34" s="178"/>
      <c r="E34" s="170"/>
      <c r="F34" s="168" t="s">
        <v>34</v>
      </c>
      <c r="G34" s="169">
        <v>45323</v>
      </c>
      <c r="H34" s="179">
        <v>5</v>
      </c>
      <c r="I34" s="180"/>
      <c r="J34" s="181">
        <v>20</v>
      </c>
      <c r="K34" s="182">
        <f>+(2500/30*20)</f>
        <v>1666.6666666666665</v>
      </c>
      <c r="L34" s="183"/>
      <c r="M34" s="163">
        <v>0</v>
      </c>
      <c r="N34" s="172">
        <f t="shared" si="0"/>
        <v>1666.6666666666665</v>
      </c>
      <c r="O34" s="172">
        <f t="shared" si="1"/>
        <v>166.66666666666666</v>
      </c>
      <c r="P34" s="172">
        <f t="shared" si="2"/>
        <v>28.5</v>
      </c>
      <c r="Q34" s="172">
        <f t="shared" si="3"/>
        <v>8.3333333333333321</v>
      </c>
      <c r="R34" s="172">
        <f t="shared" si="4"/>
        <v>8.3333333333333321</v>
      </c>
      <c r="S34" s="163">
        <v>0</v>
      </c>
      <c r="T34" s="163">
        <f t="shared" si="5"/>
        <v>211.83333333333334</v>
      </c>
      <c r="U34" s="163">
        <f t="shared" si="6"/>
        <v>1454.8333333333333</v>
      </c>
      <c r="V34" s="175"/>
      <c r="W34" s="176"/>
      <c r="X34" s="171"/>
    </row>
    <row r="35" spans="1:26" s="18" customFormat="1" ht="21" customHeight="1">
      <c r="A35" s="33"/>
      <c r="B35" s="34"/>
      <c r="C35" s="35" t="s">
        <v>22</v>
      </c>
      <c r="D35" s="34"/>
      <c r="E35" s="36"/>
      <c r="F35" s="34"/>
      <c r="G35" s="34"/>
      <c r="H35" s="65"/>
      <c r="I35" s="65"/>
      <c r="J35" s="37"/>
      <c r="K35" s="32">
        <f>SUM(K11:K34)</f>
        <v>35127.471333333335</v>
      </c>
      <c r="L35" s="32"/>
      <c r="M35" s="32">
        <f t="shared" ref="M35" si="7">SUM(M15:M31)</f>
        <v>550</v>
      </c>
      <c r="N35" s="32">
        <f>SUM(N11:N34)</f>
        <v>35677.471333333335</v>
      </c>
      <c r="O35" s="32">
        <f>SUM(O11:O34)</f>
        <v>3567.7471333333328</v>
      </c>
      <c r="P35" s="32">
        <f>SUM(P11:P34)</f>
        <v>610.08475979999992</v>
      </c>
      <c r="Q35" s="32">
        <f>SUM(Q11:Q34)</f>
        <v>178.38735666666665</v>
      </c>
      <c r="R35" s="32">
        <f>SUM(R11:R34)</f>
        <v>178.38735666666665</v>
      </c>
      <c r="S35" s="32">
        <f>SUM(S15:S34)</f>
        <v>0</v>
      </c>
      <c r="T35" s="32">
        <f>SUM(T11:T34)</f>
        <v>4534.6066064666675</v>
      </c>
      <c r="U35" s="32">
        <f>SUM(U11:U34)</f>
        <v>31142.864726866661</v>
      </c>
      <c r="V35" s="19"/>
    </row>
    <row r="36" spans="1:26" s="18" customFormat="1" ht="9.75" customHeight="1">
      <c r="A36"/>
      <c r="B36"/>
      <c r="C36"/>
      <c r="D36"/>
      <c r="E36" s="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23">
        <f>SUM(T35:T35)</f>
        <v>4534.6066064666675</v>
      </c>
      <c r="U36" s="23"/>
    </row>
    <row r="37" spans="1:26" s="18" customFormat="1">
      <c r="A37"/>
      <c r="B37"/>
      <c r="C37"/>
      <c r="D37"/>
      <c r="E37" s="9"/>
      <c r="F37"/>
      <c r="G37"/>
      <c r="H37"/>
      <c r="I37"/>
      <c r="J37"/>
      <c r="K37"/>
      <c r="L37"/>
      <c r="M37"/>
      <c r="N37" s="46"/>
      <c r="O37"/>
      <c r="P37"/>
      <c r="Q37"/>
      <c r="R37"/>
      <c r="S37"/>
      <c r="T37"/>
      <c r="U37"/>
      <c r="V37"/>
      <c r="Y37"/>
      <c r="Z37"/>
    </row>
    <row r="38" spans="1:26" s="18" customFormat="1">
      <c r="A38"/>
      <c r="B38"/>
      <c r="C38"/>
      <c r="D38"/>
      <c r="E38" s="9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6" s="18" customFormat="1">
      <c r="A39"/>
      <c r="B39"/>
      <c r="C39"/>
      <c r="D39"/>
      <c r="E39" s="9"/>
      <c r="F39"/>
      <c r="G39"/>
      <c r="H39"/>
      <c r="I39"/>
      <c r="J39"/>
      <c r="K39" t="s">
        <v>242</v>
      </c>
      <c r="L39"/>
      <c r="M39"/>
      <c r="N39"/>
      <c r="O39"/>
      <c r="P39"/>
      <c r="Q39"/>
      <c r="R39"/>
      <c r="S39"/>
      <c r="T39"/>
      <c r="U39"/>
      <c r="V39"/>
    </row>
  </sheetData>
  <mergeCells count="17"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  <mergeCell ref="U8:U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Z34"/>
  <sheetViews>
    <sheetView topLeftCell="A14" workbookViewId="0">
      <selection activeCell="K16" sqref="K1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6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6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6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6" s="26" customFormat="1" ht="12" customHeight="1">
      <c r="A4" s="245" t="s">
        <v>245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6" s="26" customFormat="1" ht="21.75" customHeight="1">
      <c r="A5" s="245" t="s">
        <v>243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6" s="26" customFormat="1" ht="19.5" customHeight="1">
      <c r="A6" s="245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6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6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196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6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98" t="s">
        <v>15</v>
      </c>
      <c r="K9" s="235"/>
      <c r="L9" s="197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6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197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6" ht="22.5" customHeight="1">
      <c r="A11" s="57">
        <v>1</v>
      </c>
      <c r="B11" s="41" t="s">
        <v>45</v>
      </c>
      <c r="C11" s="41" t="s">
        <v>46</v>
      </c>
      <c r="D11" s="42"/>
      <c r="E11" s="14"/>
      <c r="F11" s="41" t="s">
        <v>47</v>
      </c>
      <c r="G11" s="30">
        <v>45677</v>
      </c>
      <c r="H11" s="63">
        <v>6</v>
      </c>
      <c r="I11" s="64"/>
      <c r="J11" s="14">
        <v>11</v>
      </c>
      <c r="K11" s="62">
        <v>1219.17</v>
      </c>
      <c r="L11" s="62"/>
      <c r="M11" s="43">
        <v>0</v>
      </c>
      <c r="N11" s="62">
        <f t="shared" ref="N11" si="0">K11+M11</f>
        <v>1219.17</v>
      </c>
      <c r="O11" s="62">
        <f t="shared" ref="O11" si="1">+N11*0.1</f>
        <v>121.91700000000002</v>
      </c>
      <c r="P11" s="62">
        <f t="shared" ref="P11" si="2">+N11*0.0171</f>
        <v>20.847807000000003</v>
      </c>
      <c r="Q11" s="62">
        <f t="shared" ref="Q11" si="3">+N11*0.005</f>
        <v>6.0958500000000004</v>
      </c>
      <c r="R11" s="62">
        <f t="shared" ref="R11" si="4">N11*0.5%</f>
        <v>6.0958500000000004</v>
      </c>
      <c r="S11" s="43">
        <v>0</v>
      </c>
      <c r="T11" s="43">
        <f t="shared" ref="T11" si="5">+O11+P11+Q11+R11+S11</f>
        <v>154.95650700000004</v>
      </c>
      <c r="U11" s="43">
        <f>+N11-T11</f>
        <v>1064.213493</v>
      </c>
      <c r="V11" s="44"/>
      <c r="X11" s="108"/>
    </row>
    <row r="12" spans="1:26" s="18" customFormat="1" ht="21" customHeight="1">
      <c r="A12" s="33"/>
      <c r="B12" s="34"/>
      <c r="C12" s="35" t="s">
        <v>22</v>
      </c>
      <c r="D12" s="34"/>
      <c r="E12" s="36"/>
      <c r="F12" s="34"/>
      <c r="G12" s="34"/>
      <c r="H12" s="65"/>
      <c r="I12" s="65"/>
      <c r="J12" s="37"/>
      <c r="K12" s="32">
        <f>SUM(K11:K11)</f>
        <v>1219.17</v>
      </c>
      <c r="L12" s="32"/>
      <c r="M12" s="32">
        <f t="shared" ref="M12:U12" si="6">SUM(M11:M11)</f>
        <v>0</v>
      </c>
      <c r="N12" s="32">
        <f t="shared" si="6"/>
        <v>1219.17</v>
      </c>
      <c r="O12" s="32">
        <f t="shared" si="6"/>
        <v>121.91700000000002</v>
      </c>
      <c r="P12" s="32">
        <f t="shared" si="6"/>
        <v>20.847807000000003</v>
      </c>
      <c r="Q12" s="32">
        <f t="shared" si="6"/>
        <v>6.0958500000000004</v>
      </c>
      <c r="R12" s="32">
        <f t="shared" si="6"/>
        <v>6.0958500000000004</v>
      </c>
      <c r="S12" s="32">
        <f t="shared" si="6"/>
        <v>0</v>
      </c>
      <c r="T12" s="32">
        <f t="shared" si="6"/>
        <v>154.95650700000004</v>
      </c>
      <c r="U12" s="32">
        <f t="shared" si="6"/>
        <v>1064.213493</v>
      </c>
      <c r="V12" s="19"/>
    </row>
    <row r="13" spans="1:26" s="18" customFormat="1" ht="9.75" customHeight="1">
      <c r="A13"/>
      <c r="B13"/>
      <c r="C13"/>
      <c r="D13"/>
      <c r="E13" s="9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23">
        <f>SUM(T12:T12)</f>
        <v>154.95650700000004</v>
      </c>
      <c r="U13" s="23"/>
    </row>
    <row r="14" spans="1:26" s="18" customFormat="1">
      <c r="A14"/>
      <c r="B14"/>
      <c r="C14"/>
      <c r="D14"/>
      <c r="E14" s="9"/>
      <c r="F14"/>
      <c r="G14"/>
      <c r="H14"/>
      <c r="I14"/>
      <c r="J14"/>
      <c r="K14"/>
      <c r="L14"/>
      <c r="M14"/>
      <c r="N14" s="46"/>
      <c r="O14"/>
      <c r="P14"/>
      <c r="Q14"/>
      <c r="R14"/>
      <c r="S14"/>
      <c r="T14"/>
      <c r="U14"/>
      <c r="V14"/>
      <c r="Y14"/>
      <c r="Z14"/>
    </row>
    <row r="15" spans="1:26" s="18" customFormat="1">
      <c r="A15"/>
      <c r="B15"/>
      <c r="C15"/>
      <c r="D15"/>
      <c r="E15" s="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6" s="18" customFormat="1">
      <c r="A16"/>
      <c r="B16"/>
      <c r="C16"/>
      <c r="D16"/>
      <c r="E16" s="9"/>
      <c r="F16"/>
      <c r="G16"/>
      <c r="H16"/>
      <c r="I16"/>
      <c r="J16"/>
      <c r="K16" t="s">
        <v>244</v>
      </c>
      <c r="L16"/>
      <c r="M16"/>
      <c r="N16"/>
      <c r="O16"/>
      <c r="P16"/>
      <c r="Q16"/>
      <c r="R16"/>
      <c r="S16"/>
      <c r="T16"/>
      <c r="U16"/>
      <c r="V16"/>
    </row>
    <row r="23" spans="2:7">
      <c r="B23" s="46">
        <f>N12</f>
        <v>1219.17</v>
      </c>
    </row>
    <row r="25" spans="2:7">
      <c r="B25" s="202">
        <f>B23*13.92%</f>
        <v>169.70846399999999</v>
      </c>
      <c r="C25" s="203">
        <v>0.13919999999999999</v>
      </c>
    </row>
    <row r="26" spans="2:7">
      <c r="B26" s="202">
        <f>B23*2%</f>
        <v>24.383400000000002</v>
      </c>
      <c r="C26" s="204">
        <v>0.02</v>
      </c>
    </row>
    <row r="27" spans="2:7">
      <c r="B27" s="202">
        <f>B23*3.5%</f>
        <v>42.670950000000005</v>
      </c>
      <c r="C27" s="203">
        <v>3.5000000000000003E-2</v>
      </c>
    </row>
    <row r="28" spans="2:7">
      <c r="B28" s="205">
        <f>B23*0.5%</f>
        <v>6.0958500000000004</v>
      </c>
      <c r="C28" s="203">
        <v>5.0000000000000001E-3</v>
      </c>
    </row>
    <row r="29" spans="2:7">
      <c r="B29" s="202">
        <f>SUM(B25:B28)</f>
        <v>242.858664</v>
      </c>
    </row>
    <row r="31" spans="2:7">
      <c r="B31" s="202">
        <f>B23*10%</f>
        <v>121.91700000000002</v>
      </c>
      <c r="C31" s="206" t="s">
        <v>247</v>
      </c>
      <c r="G31" t="s">
        <v>246</v>
      </c>
    </row>
    <row r="33" spans="2:3" ht="15.75" thickBot="1">
      <c r="B33" s="207">
        <f>B29+B31</f>
        <v>364.77566400000001</v>
      </c>
      <c r="C33" s="206" t="s">
        <v>248</v>
      </c>
    </row>
    <row r="34" spans="2:3" ht="15.75" thickTop="1"/>
  </sheetData>
  <mergeCells count="17"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Z36"/>
  <sheetViews>
    <sheetView topLeftCell="A17" workbookViewId="0">
      <selection activeCell="V26" sqref="V2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249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0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199" t="s">
        <v>15</v>
      </c>
      <c r="K9" s="235"/>
      <c r="L9" s="20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0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45689</v>
      </c>
      <c r="H11" s="14">
        <v>5</v>
      </c>
      <c r="I11" s="45"/>
      <c r="J11" s="58">
        <v>30</v>
      </c>
      <c r="K11" s="155">
        <v>2587.36</v>
      </c>
      <c r="L11" s="60"/>
      <c r="M11" s="43">
        <v>0</v>
      </c>
      <c r="N11" s="62">
        <f t="shared" ref="N11:N31" si="0">K11+M11</f>
        <v>2587.36</v>
      </c>
      <c r="O11" s="62">
        <f t="shared" ref="O11:O31" si="1">+N11*0.1</f>
        <v>258.73600000000005</v>
      </c>
      <c r="P11" s="62">
        <f t="shared" ref="P11:P31" si="2">+N11*0.0171</f>
        <v>44.243856000000001</v>
      </c>
      <c r="Q11" s="62">
        <f t="shared" ref="Q11:Q31" si="3">+N11*0.005</f>
        <v>12.936800000000002</v>
      </c>
      <c r="R11" s="62">
        <f t="shared" ref="R11:R31" si="4">N11*0.5%</f>
        <v>12.936800000000002</v>
      </c>
      <c r="S11" s="43">
        <v>0</v>
      </c>
      <c r="T11" s="43">
        <f t="shared" ref="T11:T31" si="5">+O11+P11+Q11+R11+S11</f>
        <v>328.85345600000005</v>
      </c>
      <c r="U11" s="43">
        <f t="shared" ref="U11:U31" si="6">+N11-T11</f>
        <v>2258.5065439999998</v>
      </c>
      <c r="V11" s="55"/>
    </row>
    <row r="12" spans="1:24" ht="22.5" customHeight="1">
      <c r="A12" s="57">
        <v>2</v>
      </c>
      <c r="B12" s="56" t="s">
        <v>250</v>
      </c>
      <c r="C12" s="66" t="s">
        <v>251</v>
      </c>
      <c r="D12" s="55"/>
      <c r="E12" s="55"/>
      <c r="F12" s="123" t="s">
        <v>252</v>
      </c>
      <c r="G12" s="59">
        <v>45689</v>
      </c>
      <c r="H12" s="14">
        <v>5</v>
      </c>
      <c r="I12" s="45"/>
      <c r="J12" s="58">
        <v>30</v>
      </c>
      <c r="K12" s="155">
        <v>3000</v>
      </c>
      <c r="L12" s="60"/>
      <c r="M12" s="43">
        <v>0</v>
      </c>
      <c r="N12" s="62">
        <f t="shared" si="0"/>
        <v>3000</v>
      </c>
      <c r="O12" s="62">
        <f t="shared" si="1"/>
        <v>300</v>
      </c>
      <c r="P12" s="62">
        <f t="shared" si="2"/>
        <v>51.300000000000004</v>
      </c>
      <c r="Q12" s="62">
        <f t="shared" si="3"/>
        <v>15</v>
      </c>
      <c r="R12" s="62">
        <f t="shared" si="4"/>
        <v>15</v>
      </c>
      <c r="S12" s="43">
        <v>0</v>
      </c>
      <c r="T12" s="43">
        <f t="shared" si="5"/>
        <v>381.3</v>
      </c>
      <c r="U12" s="43">
        <f t="shared" si="6"/>
        <v>2618.6999999999998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253</v>
      </c>
      <c r="G13" s="59">
        <v>45689</v>
      </c>
      <c r="H13" s="14">
        <v>5</v>
      </c>
      <c r="I13" s="45"/>
      <c r="J13" s="58">
        <v>30</v>
      </c>
      <c r="K13" s="155">
        <v>3000</v>
      </c>
      <c r="L13" s="60"/>
      <c r="M13" s="43">
        <v>0</v>
      </c>
      <c r="N13" s="62">
        <f t="shared" si="0"/>
        <v>3000</v>
      </c>
      <c r="O13" s="62">
        <f t="shared" si="1"/>
        <v>300</v>
      </c>
      <c r="P13" s="62">
        <f t="shared" si="2"/>
        <v>51.300000000000004</v>
      </c>
      <c r="Q13" s="62">
        <f t="shared" si="3"/>
        <v>15</v>
      </c>
      <c r="R13" s="62">
        <f t="shared" si="4"/>
        <v>15</v>
      </c>
      <c r="S13" s="43">
        <v>0</v>
      </c>
      <c r="T13" s="43">
        <f t="shared" si="5"/>
        <v>381.3</v>
      </c>
      <c r="U13" s="43">
        <f t="shared" si="6"/>
        <v>2618.6999999999998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62">
        <f t="shared" si="1"/>
        <v>254.61599999999999</v>
      </c>
      <c r="P14" s="62">
        <f t="shared" si="2"/>
        <v>43.539335999999999</v>
      </c>
      <c r="Q14" s="62">
        <f t="shared" si="3"/>
        <v>12.7308</v>
      </c>
      <c r="R14" s="62">
        <f t="shared" si="4"/>
        <v>12.7308</v>
      </c>
      <c r="S14" s="43">
        <v>0</v>
      </c>
      <c r="T14" s="43">
        <f t="shared" si="5"/>
        <v>323.61693599999995</v>
      </c>
      <c r="U14" s="43">
        <f t="shared" si="6"/>
        <v>2222.543064</v>
      </c>
      <c r="V14" s="55"/>
    </row>
    <row r="15" spans="1:24" ht="22.5" customHeight="1">
      <c r="A15" s="57">
        <v>5</v>
      </c>
      <c r="B15" s="41" t="s">
        <v>254</v>
      </c>
      <c r="C15" s="41" t="s">
        <v>255</v>
      </c>
      <c r="D15" s="42"/>
      <c r="E15" s="14"/>
      <c r="F15" s="41" t="s">
        <v>32</v>
      </c>
      <c r="G15" s="59">
        <v>45689</v>
      </c>
      <c r="H15" s="63">
        <v>5</v>
      </c>
      <c r="I15" s="64"/>
      <c r="J15" s="14">
        <v>30</v>
      </c>
      <c r="K15" s="62">
        <v>2546.16</v>
      </c>
      <c r="L15" s="60"/>
      <c r="M15" s="43">
        <v>0</v>
      </c>
      <c r="N15" s="62">
        <f t="shared" si="0"/>
        <v>2546.16</v>
      </c>
      <c r="O15" s="62">
        <f t="shared" si="1"/>
        <v>254.61599999999999</v>
      </c>
      <c r="P15" s="62">
        <f t="shared" si="2"/>
        <v>43.539335999999999</v>
      </c>
      <c r="Q15" s="62">
        <f t="shared" si="3"/>
        <v>12.7308</v>
      </c>
      <c r="R15" s="62">
        <f t="shared" si="4"/>
        <v>12.7308</v>
      </c>
      <c r="S15" s="43">
        <v>0</v>
      </c>
      <c r="T15" s="43">
        <f t="shared" si="5"/>
        <v>323.61693599999995</v>
      </c>
      <c r="U15" s="43">
        <f t="shared" si="6"/>
        <v>2222.543064</v>
      </c>
      <c r="V15" s="55"/>
    </row>
    <row r="16" spans="1:24" ht="22.5" customHeight="1">
      <c r="A16" s="57">
        <v>6</v>
      </c>
      <c r="B16" s="41" t="s">
        <v>44</v>
      </c>
      <c r="C16" s="41" t="s">
        <v>61</v>
      </c>
      <c r="D16" s="42"/>
      <c r="E16" s="14"/>
      <c r="F16" s="41" t="s">
        <v>49</v>
      </c>
      <c r="G16" s="59">
        <v>45689</v>
      </c>
      <c r="H16" s="63">
        <v>5</v>
      </c>
      <c r="I16" s="64"/>
      <c r="J16" s="14">
        <v>30</v>
      </c>
      <c r="K16" s="62">
        <v>4460</v>
      </c>
      <c r="L16" s="62"/>
      <c r="M16" s="43">
        <v>0</v>
      </c>
      <c r="N16" s="62">
        <f t="shared" si="0"/>
        <v>4460</v>
      </c>
      <c r="O16" s="62">
        <f t="shared" si="1"/>
        <v>446</v>
      </c>
      <c r="P16" s="62">
        <f t="shared" si="2"/>
        <v>76.266000000000005</v>
      </c>
      <c r="Q16" s="62">
        <f t="shared" si="3"/>
        <v>22.3</v>
      </c>
      <c r="R16" s="62">
        <f t="shared" si="4"/>
        <v>22.3</v>
      </c>
      <c r="S16" s="43">
        <v>0</v>
      </c>
      <c r="T16" s="43">
        <f t="shared" si="5"/>
        <v>566.86599999999987</v>
      </c>
      <c r="U16" s="43">
        <f t="shared" si="6"/>
        <v>3893.134</v>
      </c>
      <c r="V16" s="44"/>
      <c r="X16" s="45"/>
    </row>
    <row r="17" spans="1:24" ht="22.5" customHeight="1">
      <c r="A17" s="57">
        <v>7</v>
      </c>
      <c r="B17" s="41" t="s">
        <v>79</v>
      </c>
      <c r="C17" s="41" t="s">
        <v>80</v>
      </c>
      <c r="D17" s="42"/>
      <c r="E17" s="14"/>
      <c r="F17" s="41" t="s">
        <v>148</v>
      </c>
      <c r="G17" s="59">
        <v>45689</v>
      </c>
      <c r="H17" s="40">
        <v>5</v>
      </c>
      <c r="J17" s="15">
        <v>30</v>
      </c>
      <c r="K17" s="38">
        <v>4389</v>
      </c>
      <c r="L17" s="62"/>
      <c r="M17" s="43">
        <v>0</v>
      </c>
      <c r="N17" s="62">
        <f t="shared" si="0"/>
        <v>4389</v>
      </c>
      <c r="O17" s="62">
        <f t="shared" si="1"/>
        <v>438.90000000000003</v>
      </c>
      <c r="P17" s="62">
        <f t="shared" si="2"/>
        <v>75.051900000000003</v>
      </c>
      <c r="Q17" s="62">
        <f t="shared" si="3"/>
        <v>21.945</v>
      </c>
      <c r="R17" s="62">
        <f t="shared" si="4"/>
        <v>21.945</v>
      </c>
      <c r="S17" s="43">
        <v>0</v>
      </c>
      <c r="T17" s="43">
        <f t="shared" si="5"/>
        <v>557.84190000000012</v>
      </c>
      <c r="U17" s="43">
        <f t="shared" si="6"/>
        <v>3831.1580999999996</v>
      </c>
      <c r="V17" s="44"/>
      <c r="X17" s="45"/>
    </row>
    <row r="18" spans="1:24" ht="22.5" customHeight="1">
      <c r="A18" s="57">
        <v>8</v>
      </c>
      <c r="B18" s="110" t="s">
        <v>19</v>
      </c>
      <c r="C18" s="110" t="s">
        <v>20</v>
      </c>
      <c r="D18" s="42"/>
      <c r="E18" s="14"/>
      <c r="F18" s="41" t="s">
        <v>178</v>
      </c>
      <c r="G18" s="59">
        <v>45689</v>
      </c>
      <c r="H18" s="40">
        <v>5</v>
      </c>
      <c r="J18" s="15">
        <v>30</v>
      </c>
      <c r="K18" s="38">
        <v>3022.72</v>
      </c>
      <c r="L18" s="62"/>
      <c r="M18" s="43">
        <v>0</v>
      </c>
      <c r="N18" s="62">
        <f t="shared" si="0"/>
        <v>3022.72</v>
      </c>
      <c r="O18" s="62">
        <f t="shared" si="1"/>
        <v>302.27199999999999</v>
      </c>
      <c r="P18" s="62">
        <f t="shared" si="2"/>
        <v>51.688511999999996</v>
      </c>
      <c r="Q18" s="62">
        <f t="shared" si="3"/>
        <v>15.1136</v>
      </c>
      <c r="R18" s="62">
        <f t="shared" si="4"/>
        <v>15.1136</v>
      </c>
      <c r="S18" s="43">
        <v>0</v>
      </c>
      <c r="T18" s="43">
        <f t="shared" si="5"/>
        <v>384.18771200000003</v>
      </c>
      <c r="U18" s="43">
        <f t="shared" si="6"/>
        <v>2638.5322879999999</v>
      </c>
      <c r="V18" s="44"/>
      <c r="X18" s="45"/>
    </row>
    <row r="19" spans="1:24" ht="22.5" customHeight="1">
      <c r="A19" s="57">
        <v>9</v>
      </c>
      <c r="B19" s="110" t="s">
        <v>101</v>
      </c>
      <c r="C19" s="110" t="s">
        <v>102</v>
      </c>
      <c r="D19" s="119"/>
      <c r="E19" s="120" t="s">
        <v>180</v>
      </c>
      <c r="F19" s="121" t="s">
        <v>103</v>
      </c>
      <c r="G19" s="59">
        <v>45689</v>
      </c>
      <c r="H19" s="40">
        <v>5</v>
      </c>
      <c r="J19" s="15">
        <v>30</v>
      </c>
      <c r="K19" s="38">
        <v>3159.05</v>
      </c>
      <c r="L19" s="62"/>
      <c r="M19" s="43">
        <v>0</v>
      </c>
      <c r="N19" s="62">
        <f t="shared" si="0"/>
        <v>3159.05</v>
      </c>
      <c r="O19" s="62">
        <f t="shared" si="1"/>
        <v>315.90500000000003</v>
      </c>
      <c r="P19" s="62">
        <f t="shared" si="2"/>
        <v>54.019755000000004</v>
      </c>
      <c r="Q19" s="62">
        <f t="shared" si="3"/>
        <v>15.795250000000001</v>
      </c>
      <c r="R19" s="62">
        <f t="shared" si="4"/>
        <v>15.795250000000001</v>
      </c>
      <c r="S19" s="43">
        <v>0</v>
      </c>
      <c r="T19" s="43">
        <f t="shared" si="5"/>
        <v>401.51525500000002</v>
      </c>
      <c r="U19" s="43">
        <f t="shared" si="6"/>
        <v>2757.5347449999999</v>
      </c>
      <c r="V19" s="44"/>
      <c r="X19" s="45"/>
    </row>
    <row r="20" spans="1:24" ht="22.5" customHeight="1">
      <c r="A20" s="57">
        <v>10</v>
      </c>
      <c r="B20" s="41" t="s">
        <v>105</v>
      </c>
      <c r="C20" s="41" t="s">
        <v>104</v>
      </c>
      <c r="D20" s="42"/>
      <c r="E20" s="14"/>
      <c r="F20" s="41" t="s">
        <v>32</v>
      </c>
      <c r="G20" s="59">
        <v>45689</v>
      </c>
      <c r="H20" s="40">
        <v>5</v>
      </c>
      <c r="J20" s="15">
        <v>30</v>
      </c>
      <c r="K20" s="38">
        <v>2546.16</v>
      </c>
      <c r="L20" s="62"/>
      <c r="M20" s="43">
        <v>0</v>
      </c>
      <c r="N20" s="62">
        <f t="shared" si="0"/>
        <v>2546.16</v>
      </c>
      <c r="O20" s="62">
        <f t="shared" si="1"/>
        <v>254.61599999999999</v>
      </c>
      <c r="P20" s="62">
        <f t="shared" si="2"/>
        <v>43.539335999999999</v>
      </c>
      <c r="Q20" s="62">
        <f t="shared" si="3"/>
        <v>12.7308</v>
      </c>
      <c r="R20" s="62">
        <f t="shared" si="4"/>
        <v>12.7308</v>
      </c>
      <c r="S20" s="43">
        <v>0</v>
      </c>
      <c r="T20" s="43">
        <f t="shared" si="5"/>
        <v>323.61693599999995</v>
      </c>
      <c r="U20" s="43">
        <f t="shared" si="6"/>
        <v>2222.543064</v>
      </c>
      <c r="V20" s="44"/>
      <c r="X20" s="45"/>
    </row>
    <row r="21" spans="1:24" ht="26.25" customHeight="1">
      <c r="A21" s="57">
        <v>11</v>
      </c>
      <c r="B21" s="110" t="s">
        <v>69</v>
      </c>
      <c r="C21" s="111" t="s">
        <v>70</v>
      </c>
      <c r="D21" s="127"/>
      <c r="E21" s="128" t="s">
        <v>199</v>
      </c>
      <c r="F21" s="208" t="s">
        <v>256</v>
      </c>
      <c r="G21" s="59">
        <v>45689</v>
      </c>
      <c r="H21" s="40">
        <v>5</v>
      </c>
      <c r="J21" s="15">
        <v>30</v>
      </c>
      <c r="K21" s="38">
        <v>2652.25</v>
      </c>
      <c r="L21" s="62"/>
      <c r="M21" s="43">
        <v>0</v>
      </c>
      <c r="N21" s="62">
        <f t="shared" si="0"/>
        <v>2652.25</v>
      </c>
      <c r="O21" s="62">
        <f t="shared" si="1"/>
        <v>265.22500000000002</v>
      </c>
      <c r="P21" s="62">
        <f t="shared" si="2"/>
        <v>45.353475000000003</v>
      </c>
      <c r="Q21" s="62">
        <f t="shared" si="3"/>
        <v>13.26125</v>
      </c>
      <c r="R21" s="62">
        <f t="shared" si="4"/>
        <v>13.26125</v>
      </c>
      <c r="S21" s="43">
        <v>0</v>
      </c>
      <c r="T21" s="43">
        <f t="shared" si="5"/>
        <v>337.10097500000006</v>
      </c>
      <c r="U21" s="43">
        <f t="shared" si="6"/>
        <v>2315.1490249999997</v>
      </c>
      <c r="V21" s="44"/>
      <c r="X21" s="45"/>
    </row>
    <row r="22" spans="1:24" ht="22.5" customHeight="1">
      <c r="A22" s="57">
        <v>12</v>
      </c>
      <c r="B22" s="21" t="s">
        <v>85</v>
      </c>
      <c r="C22" s="21" t="s">
        <v>86</v>
      </c>
      <c r="D22" s="20"/>
      <c r="E22" s="22" t="s">
        <v>40</v>
      </c>
      <c r="F22" s="30" t="s">
        <v>40</v>
      </c>
      <c r="G22" s="59">
        <v>45689</v>
      </c>
      <c r="H22" s="14">
        <v>5</v>
      </c>
      <c r="I22" s="43">
        <v>2122</v>
      </c>
      <c r="J22" s="14">
        <v>30</v>
      </c>
      <c r="K22" s="62">
        <v>2500</v>
      </c>
      <c r="L22" s="62"/>
      <c r="M22" s="43">
        <v>0</v>
      </c>
      <c r="N22" s="62">
        <f t="shared" si="0"/>
        <v>2500</v>
      </c>
      <c r="O22" s="62">
        <f t="shared" si="1"/>
        <v>250</v>
      </c>
      <c r="P22" s="62">
        <f t="shared" si="2"/>
        <v>42.75</v>
      </c>
      <c r="Q22" s="62">
        <f t="shared" si="3"/>
        <v>12.5</v>
      </c>
      <c r="R22" s="62">
        <f t="shared" si="4"/>
        <v>12.5</v>
      </c>
      <c r="S22" s="43">
        <v>0</v>
      </c>
      <c r="T22" s="43">
        <f t="shared" si="5"/>
        <v>317.75</v>
      </c>
      <c r="U22" s="43">
        <f t="shared" si="6"/>
        <v>2182.25</v>
      </c>
      <c r="V22" s="44"/>
      <c r="X22" s="45"/>
    </row>
    <row r="23" spans="1:24" ht="22.5" customHeight="1">
      <c r="A23" s="57">
        <v>13</v>
      </c>
      <c r="B23" s="21" t="s">
        <v>257</v>
      </c>
      <c r="C23" s="21" t="s">
        <v>258</v>
      </c>
      <c r="D23" s="20"/>
      <c r="E23" s="22"/>
      <c r="F23" s="30" t="s">
        <v>73</v>
      </c>
      <c r="G23" s="59">
        <v>45689</v>
      </c>
      <c r="H23" s="14">
        <v>5</v>
      </c>
      <c r="I23" s="209"/>
      <c r="J23" s="14">
        <v>30</v>
      </c>
      <c r="K23" s="62">
        <v>2600</v>
      </c>
      <c r="L23" s="62"/>
      <c r="M23" s="43">
        <v>0</v>
      </c>
      <c r="N23" s="62">
        <f t="shared" si="0"/>
        <v>2600</v>
      </c>
      <c r="O23" s="62">
        <f t="shared" si="1"/>
        <v>260</v>
      </c>
      <c r="P23" s="62">
        <f t="shared" si="2"/>
        <v>44.46</v>
      </c>
      <c r="Q23" s="62">
        <f t="shared" si="3"/>
        <v>13</v>
      </c>
      <c r="R23" s="62">
        <f t="shared" si="4"/>
        <v>13</v>
      </c>
      <c r="S23" s="43">
        <v>0</v>
      </c>
      <c r="T23" s="43">
        <f t="shared" si="5"/>
        <v>330.46</v>
      </c>
      <c r="U23" s="43">
        <f t="shared" si="6"/>
        <v>2269.54</v>
      </c>
      <c r="V23" s="44"/>
      <c r="X23" s="45"/>
    </row>
    <row r="24" spans="1:24" ht="22.5" customHeight="1">
      <c r="A24" s="57">
        <v>14</v>
      </c>
      <c r="B24" s="41" t="s">
        <v>45</v>
      </c>
      <c r="C24" s="41" t="s">
        <v>46</v>
      </c>
      <c r="D24" s="42"/>
      <c r="E24" s="14"/>
      <c r="F24" s="41" t="s">
        <v>47</v>
      </c>
      <c r="G24" s="30">
        <v>45689</v>
      </c>
      <c r="H24" s="63">
        <v>6</v>
      </c>
      <c r="I24" s="64"/>
      <c r="J24" s="14">
        <v>30</v>
      </c>
      <c r="K24" s="62">
        <v>3325</v>
      </c>
      <c r="L24" s="62"/>
      <c r="M24" s="43">
        <v>0</v>
      </c>
      <c r="N24" s="62">
        <f t="shared" si="0"/>
        <v>3325</v>
      </c>
      <c r="O24" s="62">
        <f t="shared" si="1"/>
        <v>332.5</v>
      </c>
      <c r="P24" s="62">
        <f t="shared" si="2"/>
        <v>56.857500000000002</v>
      </c>
      <c r="Q24" s="62">
        <f t="shared" si="3"/>
        <v>16.625</v>
      </c>
      <c r="R24" s="62">
        <f t="shared" si="4"/>
        <v>16.625</v>
      </c>
      <c r="S24" s="43">
        <v>0</v>
      </c>
      <c r="T24" s="43">
        <f t="shared" si="5"/>
        <v>422.60750000000002</v>
      </c>
      <c r="U24" s="43">
        <f>+N24-T24</f>
        <v>2902.3924999999999</v>
      </c>
      <c r="V24" s="44"/>
      <c r="X24" s="108"/>
    </row>
    <row r="25" spans="1:24" ht="22.5" customHeight="1">
      <c r="A25" s="57">
        <v>15</v>
      </c>
      <c r="B25" s="41" t="s">
        <v>31</v>
      </c>
      <c r="C25" s="41" t="s">
        <v>62</v>
      </c>
      <c r="D25" s="42"/>
      <c r="E25" s="14"/>
      <c r="F25" s="41" t="s">
        <v>32</v>
      </c>
      <c r="G25" s="59">
        <v>45689</v>
      </c>
      <c r="H25" s="40">
        <v>5</v>
      </c>
      <c r="J25" s="15">
        <v>30</v>
      </c>
      <c r="K25" s="38">
        <v>2724.85</v>
      </c>
      <c r="L25" s="62"/>
      <c r="M25" s="43">
        <v>0</v>
      </c>
      <c r="N25" s="62">
        <f t="shared" si="0"/>
        <v>2724.85</v>
      </c>
      <c r="O25" s="62">
        <f t="shared" si="1"/>
        <v>272.48500000000001</v>
      </c>
      <c r="P25" s="62">
        <f t="shared" si="2"/>
        <v>46.594935</v>
      </c>
      <c r="Q25" s="62">
        <f t="shared" si="3"/>
        <v>13.62425</v>
      </c>
      <c r="R25" s="62">
        <f t="shared" si="4"/>
        <v>13.62425</v>
      </c>
      <c r="S25" s="43">
        <v>0</v>
      </c>
      <c r="T25" s="43">
        <f t="shared" si="5"/>
        <v>346.32843500000007</v>
      </c>
      <c r="U25" s="43">
        <f t="shared" si="6"/>
        <v>2378.521565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45689</v>
      </c>
      <c r="H26" s="63">
        <v>5</v>
      </c>
      <c r="I26" s="64"/>
      <c r="J26" s="14">
        <v>30</v>
      </c>
      <c r="K26" s="62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45689</v>
      </c>
      <c r="H27" s="40">
        <v>5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45689</v>
      </c>
      <c r="H28" s="40">
        <v>5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62">
        <f t="shared" si="1"/>
        <v>250</v>
      </c>
      <c r="P28" s="62">
        <f t="shared" si="2"/>
        <v>42.75</v>
      </c>
      <c r="Q28" s="62">
        <f t="shared" si="3"/>
        <v>12.5</v>
      </c>
      <c r="R28" s="62">
        <f t="shared" si="4"/>
        <v>12.5</v>
      </c>
      <c r="S28" s="43">
        <v>0</v>
      </c>
      <c r="T28" s="43">
        <f t="shared" si="5"/>
        <v>317.75</v>
      </c>
      <c r="U28" s="43">
        <f t="shared" si="6"/>
        <v>2182.25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45689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 t="shared" si="0"/>
        <v>2546.16</v>
      </c>
      <c r="O29" s="62">
        <f t="shared" si="1"/>
        <v>254.61599999999999</v>
      </c>
      <c r="P29" s="62">
        <f t="shared" si="2"/>
        <v>43.539335999999999</v>
      </c>
      <c r="Q29" s="62">
        <f t="shared" si="3"/>
        <v>12.7308</v>
      </c>
      <c r="R29" s="62">
        <f t="shared" si="4"/>
        <v>12.7308</v>
      </c>
      <c r="S29" s="43">
        <v>0</v>
      </c>
      <c r="T29" s="43">
        <f t="shared" si="5"/>
        <v>323.61693599999995</v>
      </c>
      <c r="U29" s="43">
        <f t="shared" si="6"/>
        <v>2222.543064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59">
        <v>45689</v>
      </c>
      <c r="H30" s="40">
        <v>4</v>
      </c>
      <c r="I30" s="76"/>
      <c r="J30" s="75">
        <v>30</v>
      </c>
      <c r="K30" s="68">
        <v>2500</v>
      </c>
      <c r="L30" s="69"/>
      <c r="M30" s="43">
        <v>0</v>
      </c>
      <c r="N30" s="62">
        <f t="shared" si="0"/>
        <v>2500</v>
      </c>
      <c r="O30" s="62">
        <f t="shared" si="1"/>
        <v>250</v>
      </c>
      <c r="P30" s="62">
        <f t="shared" si="2"/>
        <v>42.75</v>
      </c>
      <c r="Q30" s="62">
        <f t="shared" si="3"/>
        <v>12.5</v>
      </c>
      <c r="R30" s="62">
        <f t="shared" si="4"/>
        <v>12.5</v>
      </c>
      <c r="S30" s="43">
        <v>0</v>
      </c>
      <c r="T30" s="43">
        <f t="shared" si="5"/>
        <v>317.75</v>
      </c>
      <c r="U30" s="43">
        <f t="shared" si="6"/>
        <v>2182.25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59">
        <v>45689</v>
      </c>
      <c r="H31" s="40">
        <v>5</v>
      </c>
      <c r="I31" s="76"/>
      <c r="J31" s="75">
        <v>30</v>
      </c>
      <c r="K31" s="68">
        <v>2500</v>
      </c>
      <c r="L31" s="69"/>
      <c r="M31" s="43">
        <v>0</v>
      </c>
      <c r="N31" s="62">
        <f t="shared" si="0"/>
        <v>2500</v>
      </c>
      <c r="O31" s="62">
        <f t="shared" si="1"/>
        <v>250</v>
      </c>
      <c r="P31" s="62">
        <f t="shared" si="2"/>
        <v>42.75</v>
      </c>
      <c r="Q31" s="62">
        <f t="shared" si="3"/>
        <v>12.5</v>
      </c>
      <c r="R31" s="62">
        <f t="shared" si="4"/>
        <v>12.5</v>
      </c>
      <c r="S31" s="43">
        <v>0</v>
      </c>
      <c r="T31" s="43">
        <f t="shared" si="5"/>
        <v>317.75</v>
      </c>
      <c r="U31" s="43">
        <f t="shared" si="6"/>
        <v>2182.25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60104.869999999995</v>
      </c>
      <c r="L32" s="32"/>
      <c r="M32" s="32">
        <f>SUM(M16:M29)</f>
        <v>0</v>
      </c>
      <c r="N32" s="32">
        <f>SUM(N11:N31)</f>
        <v>60104.869999999995</v>
      </c>
      <c r="O32" s="32">
        <f>SUM(O11:O31)</f>
        <v>6010.4870000000001</v>
      </c>
      <c r="P32" s="32">
        <f>SUM(P11:P31)</f>
        <v>1027.7932770000002</v>
      </c>
      <c r="Q32" s="32">
        <f>SUM(Q11:Q31)</f>
        <v>300.52434999999997</v>
      </c>
      <c r="R32" s="32">
        <f>SUM(R11:R31)</f>
        <v>300.52434999999997</v>
      </c>
      <c r="S32" s="32">
        <f>SUM(S16:S31)</f>
        <v>0</v>
      </c>
      <c r="T32" s="32">
        <f>SUM(T11:T31)</f>
        <v>7639.3289770000001</v>
      </c>
      <c r="U32" s="32">
        <f>SUM(U11:U31)</f>
        <v>52465.541022999998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7639.3289770000001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259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  <mergeCell ref="O8:S8"/>
    <mergeCell ref="T8:T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Z36"/>
  <sheetViews>
    <sheetView topLeftCell="A14" workbookViewId="0">
      <selection activeCell="M29" sqref="M29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249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1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212" t="s">
        <v>15</v>
      </c>
      <c r="K9" s="235"/>
      <c r="L9" s="21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1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45689</v>
      </c>
      <c r="H11" s="14">
        <v>5</v>
      </c>
      <c r="I11" s="45"/>
      <c r="J11" s="58">
        <v>30</v>
      </c>
      <c r="K11" s="155">
        <v>2587.36</v>
      </c>
      <c r="L11" s="60"/>
      <c r="M11" s="43">
        <v>0</v>
      </c>
      <c r="N11" s="62">
        <f t="shared" ref="N11:N31" si="0">K11+M11</f>
        <v>2587.36</v>
      </c>
      <c r="O11" s="62">
        <f t="shared" ref="O11:O31" si="1">+N11*0.1</f>
        <v>258.73600000000005</v>
      </c>
      <c r="P11" s="62">
        <f t="shared" ref="P11:P31" si="2">+N11*0.0171</f>
        <v>44.243856000000001</v>
      </c>
      <c r="Q11" s="62">
        <f t="shared" ref="Q11:Q31" si="3">+N11*0.005</f>
        <v>12.936800000000002</v>
      </c>
      <c r="R11" s="62">
        <f t="shared" ref="R11:R31" si="4">N11*0.5%</f>
        <v>12.936800000000002</v>
      </c>
      <c r="S11" s="43">
        <v>0</v>
      </c>
      <c r="T11" s="43">
        <f t="shared" ref="T11:T31" si="5">+O11+P11+Q11+R11+S11</f>
        <v>328.85345600000005</v>
      </c>
      <c r="U11" s="43">
        <f t="shared" ref="U11:U31" si="6">+N11-T11</f>
        <v>2258.5065439999998</v>
      </c>
      <c r="V11" s="55"/>
    </row>
    <row r="12" spans="1:24" ht="22.5" customHeight="1">
      <c r="A12" s="57">
        <v>2</v>
      </c>
      <c r="B12" s="56" t="s">
        <v>250</v>
      </c>
      <c r="C12" s="66" t="s">
        <v>251</v>
      </c>
      <c r="D12" s="55"/>
      <c r="E12" s="55"/>
      <c r="F12" s="123" t="s">
        <v>252</v>
      </c>
      <c r="G12" s="59">
        <v>45689</v>
      </c>
      <c r="H12" s="14">
        <v>5</v>
      </c>
      <c r="I12" s="45"/>
      <c r="J12" s="58">
        <v>30</v>
      </c>
      <c r="K12" s="155">
        <v>3000</v>
      </c>
      <c r="L12" s="60"/>
      <c r="M12" s="43">
        <v>0</v>
      </c>
      <c r="N12" s="62">
        <f t="shared" si="0"/>
        <v>3000</v>
      </c>
      <c r="O12" s="62">
        <f t="shared" si="1"/>
        <v>300</v>
      </c>
      <c r="P12" s="62">
        <f t="shared" si="2"/>
        <v>51.300000000000004</v>
      </c>
      <c r="Q12" s="62">
        <f t="shared" si="3"/>
        <v>15</v>
      </c>
      <c r="R12" s="62">
        <f t="shared" si="4"/>
        <v>15</v>
      </c>
      <c r="S12" s="43">
        <v>0</v>
      </c>
      <c r="T12" s="43">
        <f t="shared" si="5"/>
        <v>381.3</v>
      </c>
      <c r="U12" s="43">
        <f t="shared" si="6"/>
        <v>2618.6999999999998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253</v>
      </c>
      <c r="G13" s="59">
        <v>45689</v>
      </c>
      <c r="H13" s="14">
        <v>5</v>
      </c>
      <c r="I13" s="45"/>
      <c r="J13" s="58">
        <v>30</v>
      </c>
      <c r="K13" s="155">
        <v>3000</v>
      </c>
      <c r="L13" s="60"/>
      <c r="M13" s="43">
        <v>0</v>
      </c>
      <c r="N13" s="62">
        <f t="shared" si="0"/>
        <v>3000</v>
      </c>
      <c r="O13" s="62">
        <f t="shared" si="1"/>
        <v>300</v>
      </c>
      <c r="P13" s="62">
        <f t="shared" si="2"/>
        <v>51.300000000000004</v>
      </c>
      <c r="Q13" s="62">
        <f t="shared" si="3"/>
        <v>15</v>
      </c>
      <c r="R13" s="62">
        <f t="shared" si="4"/>
        <v>15</v>
      </c>
      <c r="S13" s="43">
        <v>0</v>
      </c>
      <c r="T13" s="43">
        <f t="shared" si="5"/>
        <v>381.3</v>
      </c>
      <c r="U13" s="43">
        <f t="shared" si="6"/>
        <v>2618.6999999999998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62">
        <f t="shared" si="1"/>
        <v>254.61599999999999</v>
      </c>
      <c r="P14" s="62">
        <f t="shared" si="2"/>
        <v>43.539335999999999</v>
      </c>
      <c r="Q14" s="62">
        <f t="shared" si="3"/>
        <v>12.7308</v>
      </c>
      <c r="R14" s="62">
        <f t="shared" si="4"/>
        <v>12.7308</v>
      </c>
      <c r="S14" s="43">
        <v>0</v>
      </c>
      <c r="T14" s="43">
        <f t="shared" si="5"/>
        <v>323.61693599999995</v>
      </c>
      <c r="U14" s="43">
        <f t="shared" si="6"/>
        <v>2222.543064</v>
      </c>
      <c r="V14" s="55"/>
    </row>
    <row r="15" spans="1:24" ht="22.5" customHeight="1">
      <c r="A15" s="57">
        <v>5</v>
      </c>
      <c r="B15" s="41" t="s">
        <v>254</v>
      </c>
      <c r="C15" s="41" t="s">
        <v>255</v>
      </c>
      <c r="D15" s="42"/>
      <c r="E15" s="14"/>
      <c r="F15" s="41" t="s">
        <v>32</v>
      </c>
      <c r="G15" s="59">
        <v>45689</v>
      </c>
      <c r="H15" s="63">
        <v>5</v>
      </c>
      <c r="I15" s="64"/>
      <c r="J15" s="14">
        <v>30</v>
      </c>
      <c r="K15" s="62">
        <v>2546.16</v>
      </c>
      <c r="L15" s="60"/>
      <c r="M15" s="43">
        <v>0</v>
      </c>
      <c r="N15" s="62">
        <f t="shared" si="0"/>
        <v>2546.16</v>
      </c>
      <c r="O15" s="62">
        <f t="shared" si="1"/>
        <v>254.61599999999999</v>
      </c>
      <c r="P15" s="62">
        <f t="shared" si="2"/>
        <v>43.539335999999999</v>
      </c>
      <c r="Q15" s="62">
        <f t="shared" si="3"/>
        <v>12.7308</v>
      </c>
      <c r="R15" s="62">
        <f t="shared" si="4"/>
        <v>12.7308</v>
      </c>
      <c r="S15" s="43">
        <v>0</v>
      </c>
      <c r="T15" s="43">
        <f t="shared" si="5"/>
        <v>323.61693599999995</v>
      </c>
      <c r="U15" s="43">
        <f t="shared" si="6"/>
        <v>2222.543064</v>
      </c>
      <c r="V15" s="55"/>
    </row>
    <row r="16" spans="1:24" ht="22.5" customHeight="1">
      <c r="A16" s="57">
        <v>6</v>
      </c>
      <c r="B16" s="41" t="s">
        <v>44</v>
      </c>
      <c r="C16" s="41" t="s">
        <v>61</v>
      </c>
      <c r="D16" s="42"/>
      <c r="E16" s="14"/>
      <c r="F16" s="41" t="s">
        <v>49</v>
      </c>
      <c r="G16" s="59">
        <v>45689</v>
      </c>
      <c r="H16" s="63">
        <v>5</v>
      </c>
      <c r="I16" s="64"/>
      <c r="J16" s="14">
        <v>30</v>
      </c>
      <c r="K16" s="62">
        <v>4460</v>
      </c>
      <c r="L16" s="62"/>
      <c r="M16" s="43">
        <v>0</v>
      </c>
      <c r="N16" s="62">
        <f t="shared" si="0"/>
        <v>4460</v>
      </c>
      <c r="O16" s="62">
        <f t="shared" si="1"/>
        <v>446</v>
      </c>
      <c r="P16" s="62">
        <f t="shared" si="2"/>
        <v>76.266000000000005</v>
      </c>
      <c r="Q16" s="62">
        <f t="shared" si="3"/>
        <v>22.3</v>
      </c>
      <c r="R16" s="62">
        <f t="shared" si="4"/>
        <v>22.3</v>
      </c>
      <c r="S16" s="43">
        <v>0</v>
      </c>
      <c r="T16" s="43">
        <f t="shared" si="5"/>
        <v>566.86599999999987</v>
      </c>
      <c r="U16" s="43">
        <f t="shared" si="6"/>
        <v>3893.134</v>
      </c>
      <c r="V16" s="44"/>
      <c r="X16" s="45"/>
    </row>
    <row r="17" spans="1:24" ht="22.5" customHeight="1">
      <c r="A17" s="57">
        <v>7</v>
      </c>
      <c r="B17" s="41" t="s">
        <v>79</v>
      </c>
      <c r="C17" s="41" t="s">
        <v>80</v>
      </c>
      <c r="D17" s="42"/>
      <c r="E17" s="14"/>
      <c r="F17" s="41" t="s">
        <v>148</v>
      </c>
      <c r="G17" s="59">
        <v>45689</v>
      </c>
      <c r="H17" s="40">
        <v>5</v>
      </c>
      <c r="J17" s="15">
        <v>30</v>
      </c>
      <c r="K17" s="38">
        <v>4389</v>
      </c>
      <c r="L17" s="62"/>
      <c r="M17" s="43">
        <v>0</v>
      </c>
      <c r="N17" s="62">
        <f t="shared" si="0"/>
        <v>4389</v>
      </c>
      <c r="O17" s="62">
        <f t="shared" si="1"/>
        <v>438.90000000000003</v>
      </c>
      <c r="P17" s="62">
        <f t="shared" si="2"/>
        <v>75.051900000000003</v>
      </c>
      <c r="Q17" s="62">
        <f t="shared" si="3"/>
        <v>21.945</v>
      </c>
      <c r="R17" s="62">
        <f t="shared" si="4"/>
        <v>21.945</v>
      </c>
      <c r="S17" s="43">
        <v>0</v>
      </c>
      <c r="T17" s="43">
        <f t="shared" si="5"/>
        <v>557.84190000000012</v>
      </c>
      <c r="U17" s="43">
        <f t="shared" si="6"/>
        <v>3831.1580999999996</v>
      </c>
      <c r="V17" s="44"/>
      <c r="X17" s="45"/>
    </row>
    <row r="18" spans="1:24" ht="22.5" customHeight="1">
      <c r="A18" s="57">
        <v>8</v>
      </c>
      <c r="B18" s="110" t="s">
        <v>19</v>
      </c>
      <c r="C18" s="110" t="s">
        <v>20</v>
      </c>
      <c r="D18" s="42"/>
      <c r="E18" s="14"/>
      <c r="F18" s="41" t="s">
        <v>178</v>
      </c>
      <c r="G18" s="59">
        <v>45689</v>
      </c>
      <c r="H18" s="40">
        <v>5</v>
      </c>
      <c r="J18" s="15">
        <v>30</v>
      </c>
      <c r="K18" s="38">
        <v>3022.72</v>
      </c>
      <c r="L18" s="62"/>
      <c r="M18" s="43">
        <v>0</v>
      </c>
      <c r="N18" s="62">
        <f t="shared" si="0"/>
        <v>3022.72</v>
      </c>
      <c r="O18" s="62">
        <f t="shared" si="1"/>
        <v>302.27199999999999</v>
      </c>
      <c r="P18" s="62">
        <f t="shared" si="2"/>
        <v>51.688511999999996</v>
      </c>
      <c r="Q18" s="62">
        <f t="shared" si="3"/>
        <v>15.1136</v>
      </c>
      <c r="R18" s="62">
        <f t="shared" si="4"/>
        <v>15.1136</v>
      </c>
      <c r="S18" s="43">
        <v>0</v>
      </c>
      <c r="T18" s="43">
        <f t="shared" si="5"/>
        <v>384.18771200000003</v>
      </c>
      <c r="U18" s="43">
        <f t="shared" si="6"/>
        <v>2638.5322879999999</v>
      </c>
      <c r="V18" s="44"/>
      <c r="X18" s="45"/>
    </row>
    <row r="19" spans="1:24" ht="22.5" customHeight="1">
      <c r="A19" s="57">
        <v>9</v>
      </c>
      <c r="B19" s="110" t="s">
        <v>101</v>
      </c>
      <c r="C19" s="110" t="s">
        <v>102</v>
      </c>
      <c r="D19" s="119"/>
      <c r="E19" s="120" t="s">
        <v>180</v>
      </c>
      <c r="F19" s="121" t="s">
        <v>103</v>
      </c>
      <c r="G19" s="59">
        <v>45689</v>
      </c>
      <c r="H19" s="40">
        <v>5</v>
      </c>
      <c r="J19" s="15">
        <v>30</v>
      </c>
      <c r="K19" s="38">
        <v>3159.05</v>
      </c>
      <c r="L19" s="62"/>
      <c r="M19" s="43">
        <v>0</v>
      </c>
      <c r="N19" s="62">
        <f t="shared" si="0"/>
        <v>3159.05</v>
      </c>
      <c r="O19" s="62">
        <f t="shared" si="1"/>
        <v>315.90500000000003</v>
      </c>
      <c r="P19" s="62">
        <f t="shared" si="2"/>
        <v>54.019755000000004</v>
      </c>
      <c r="Q19" s="62">
        <f t="shared" si="3"/>
        <v>15.795250000000001</v>
      </c>
      <c r="R19" s="62">
        <f t="shared" si="4"/>
        <v>15.795250000000001</v>
      </c>
      <c r="S19" s="43">
        <v>0</v>
      </c>
      <c r="T19" s="43">
        <f t="shared" si="5"/>
        <v>401.51525500000002</v>
      </c>
      <c r="U19" s="43">
        <f t="shared" si="6"/>
        <v>2757.5347449999999</v>
      </c>
      <c r="V19" s="44"/>
      <c r="X19" s="45"/>
    </row>
    <row r="20" spans="1:24" ht="22.5" customHeight="1">
      <c r="A20" s="57">
        <v>10</v>
      </c>
      <c r="B20" s="41" t="s">
        <v>105</v>
      </c>
      <c r="C20" s="41" t="s">
        <v>104</v>
      </c>
      <c r="D20" s="42"/>
      <c r="E20" s="14"/>
      <c r="F20" s="41" t="s">
        <v>32</v>
      </c>
      <c r="G20" s="59">
        <v>45689</v>
      </c>
      <c r="H20" s="40">
        <v>5</v>
      </c>
      <c r="J20" s="15">
        <v>30</v>
      </c>
      <c r="K20" s="38">
        <v>2546.16</v>
      </c>
      <c r="L20" s="62"/>
      <c r="M20" s="43">
        <v>0</v>
      </c>
      <c r="N20" s="62">
        <f t="shared" si="0"/>
        <v>2546.16</v>
      </c>
      <c r="O20" s="62">
        <f t="shared" si="1"/>
        <v>254.61599999999999</v>
      </c>
      <c r="P20" s="62">
        <f t="shared" si="2"/>
        <v>43.539335999999999</v>
      </c>
      <c r="Q20" s="62">
        <f t="shared" si="3"/>
        <v>12.7308</v>
      </c>
      <c r="R20" s="62">
        <f t="shared" si="4"/>
        <v>12.7308</v>
      </c>
      <c r="S20" s="43">
        <v>0</v>
      </c>
      <c r="T20" s="43">
        <f t="shared" si="5"/>
        <v>323.61693599999995</v>
      </c>
      <c r="U20" s="43">
        <f t="shared" si="6"/>
        <v>2222.543064</v>
      </c>
      <c r="V20" s="44"/>
      <c r="X20" s="45"/>
    </row>
    <row r="21" spans="1:24" ht="26.25" customHeight="1">
      <c r="A21" s="57">
        <v>11</v>
      </c>
      <c r="B21" s="110" t="s">
        <v>69</v>
      </c>
      <c r="C21" s="111" t="s">
        <v>70</v>
      </c>
      <c r="D21" s="127"/>
      <c r="E21" s="128" t="s">
        <v>199</v>
      </c>
      <c r="F21" s="208" t="s">
        <v>256</v>
      </c>
      <c r="G21" s="59">
        <v>45689</v>
      </c>
      <c r="H21" s="40">
        <v>5</v>
      </c>
      <c r="J21" s="15">
        <v>30</v>
      </c>
      <c r="K21" s="38">
        <v>2652.25</v>
      </c>
      <c r="L21" s="62"/>
      <c r="M21" s="43">
        <v>0</v>
      </c>
      <c r="N21" s="62">
        <f t="shared" si="0"/>
        <v>2652.25</v>
      </c>
      <c r="O21" s="62">
        <f t="shared" si="1"/>
        <v>265.22500000000002</v>
      </c>
      <c r="P21" s="62">
        <f t="shared" si="2"/>
        <v>45.353475000000003</v>
      </c>
      <c r="Q21" s="62">
        <f t="shared" si="3"/>
        <v>13.26125</v>
      </c>
      <c r="R21" s="62">
        <f t="shared" si="4"/>
        <v>13.26125</v>
      </c>
      <c r="S21" s="43">
        <v>0</v>
      </c>
      <c r="T21" s="43">
        <f t="shared" si="5"/>
        <v>337.10097500000006</v>
      </c>
      <c r="U21" s="43">
        <f t="shared" si="6"/>
        <v>2315.1490249999997</v>
      </c>
      <c r="V21" s="44"/>
      <c r="X21" s="45"/>
    </row>
    <row r="22" spans="1:24" ht="22.5" customHeight="1">
      <c r="A22" s="57">
        <v>12</v>
      </c>
      <c r="B22" s="21" t="s">
        <v>85</v>
      </c>
      <c r="C22" s="21" t="s">
        <v>86</v>
      </c>
      <c r="D22" s="20"/>
      <c r="E22" s="22" t="s">
        <v>40</v>
      </c>
      <c r="F22" s="30" t="s">
        <v>40</v>
      </c>
      <c r="G22" s="59">
        <v>45689</v>
      </c>
      <c r="H22" s="14">
        <v>5</v>
      </c>
      <c r="I22" s="43">
        <v>2122</v>
      </c>
      <c r="J22" s="14">
        <v>30</v>
      </c>
      <c r="K22" s="62">
        <v>2500</v>
      </c>
      <c r="L22" s="62"/>
      <c r="M22" s="43">
        <v>0</v>
      </c>
      <c r="N22" s="62">
        <f t="shared" si="0"/>
        <v>2500</v>
      </c>
      <c r="O22" s="62">
        <f t="shared" si="1"/>
        <v>250</v>
      </c>
      <c r="P22" s="62">
        <f t="shared" si="2"/>
        <v>42.75</v>
      </c>
      <c r="Q22" s="62">
        <f t="shared" si="3"/>
        <v>12.5</v>
      </c>
      <c r="R22" s="62">
        <f t="shared" si="4"/>
        <v>12.5</v>
      </c>
      <c r="S22" s="43">
        <v>0</v>
      </c>
      <c r="T22" s="43">
        <f t="shared" si="5"/>
        <v>317.75</v>
      </c>
      <c r="U22" s="43">
        <f t="shared" si="6"/>
        <v>2182.25</v>
      </c>
      <c r="V22" s="44"/>
      <c r="X22" s="45"/>
    </row>
    <row r="23" spans="1:24" ht="22.5" customHeight="1">
      <c r="A23" s="57">
        <v>13</v>
      </c>
      <c r="B23" s="21" t="s">
        <v>257</v>
      </c>
      <c r="C23" s="21" t="s">
        <v>258</v>
      </c>
      <c r="D23" s="20"/>
      <c r="E23" s="22"/>
      <c r="F23" s="30" t="s">
        <v>73</v>
      </c>
      <c r="G23" s="59">
        <v>45689</v>
      </c>
      <c r="H23" s="14">
        <v>5</v>
      </c>
      <c r="I23" s="209"/>
      <c r="J23" s="14">
        <v>30</v>
      </c>
      <c r="K23" s="62">
        <v>2600</v>
      </c>
      <c r="L23" s="62"/>
      <c r="M23" s="43">
        <v>0</v>
      </c>
      <c r="N23" s="62">
        <f t="shared" si="0"/>
        <v>2600</v>
      </c>
      <c r="O23" s="62">
        <f t="shared" si="1"/>
        <v>260</v>
      </c>
      <c r="P23" s="62">
        <f t="shared" si="2"/>
        <v>44.46</v>
      </c>
      <c r="Q23" s="62">
        <f t="shared" si="3"/>
        <v>13</v>
      </c>
      <c r="R23" s="62">
        <f t="shared" si="4"/>
        <v>13</v>
      </c>
      <c r="S23" s="43">
        <v>0</v>
      </c>
      <c r="T23" s="43">
        <f t="shared" si="5"/>
        <v>330.46</v>
      </c>
      <c r="U23" s="43">
        <f t="shared" si="6"/>
        <v>2269.54</v>
      </c>
      <c r="V23" s="44"/>
      <c r="X23" s="45"/>
    </row>
    <row r="24" spans="1:24" ht="22.5" customHeight="1">
      <c r="A24" s="57">
        <v>14</v>
      </c>
      <c r="B24" s="41" t="s">
        <v>45</v>
      </c>
      <c r="C24" s="41" t="s">
        <v>46</v>
      </c>
      <c r="D24" s="42"/>
      <c r="E24" s="14"/>
      <c r="F24" s="41" t="s">
        <v>47</v>
      </c>
      <c r="G24" s="30">
        <v>45689</v>
      </c>
      <c r="H24" s="63">
        <v>6</v>
      </c>
      <c r="I24" s="64"/>
      <c r="J24" s="14">
        <v>30</v>
      </c>
      <c r="K24" s="62">
        <v>3325</v>
      </c>
      <c r="L24" s="62"/>
      <c r="M24" s="43">
        <v>0</v>
      </c>
      <c r="N24" s="62">
        <f t="shared" si="0"/>
        <v>3325</v>
      </c>
      <c r="O24" s="62">
        <f t="shared" si="1"/>
        <v>332.5</v>
      </c>
      <c r="P24" s="62">
        <f t="shared" si="2"/>
        <v>56.857500000000002</v>
      </c>
      <c r="Q24" s="62">
        <f t="shared" si="3"/>
        <v>16.625</v>
      </c>
      <c r="R24" s="62">
        <f t="shared" si="4"/>
        <v>16.625</v>
      </c>
      <c r="S24" s="43">
        <v>0</v>
      </c>
      <c r="T24" s="43">
        <f t="shared" si="5"/>
        <v>422.60750000000002</v>
      </c>
      <c r="U24" s="43">
        <f>+N24-T24</f>
        <v>2902.3924999999999</v>
      </c>
      <c r="V24" s="44"/>
      <c r="X24" s="108"/>
    </row>
    <row r="25" spans="1:24" ht="22.5" customHeight="1">
      <c r="A25" s="57">
        <v>15</v>
      </c>
      <c r="B25" s="41" t="s">
        <v>31</v>
      </c>
      <c r="C25" s="41" t="s">
        <v>62</v>
      </c>
      <c r="D25" s="42"/>
      <c r="E25" s="14"/>
      <c r="F25" s="41" t="s">
        <v>32</v>
      </c>
      <c r="G25" s="59">
        <v>45689</v>
      </c>
      <c r="H25" s="40">
        <v>5</v>
      </c>
      <c r="J25" s="15">
        <v>30</v>
      </c>
      <c r="K25" s="38">
        <v>2724.85</v>
      </c>
      <c r="L25" s="62"/>
      <c r="M25" s="43">
        <v>0</v>
      </c>
      <c r="N25" s="62">
        <f t="shared" si="0"/>
        <v>2724.85</v>
      </c>
      <c r="O25" s="62">
        <f t="shared" si="1"/>
        <v>272.48500000000001</v>
      </c>
      <c r="P25" s="62">
        <f t="shared" si="2"/>
        <v>46.594935</v>
      </c>
      <c r="Q25" s="62">
        <f t="shared" si="3"/>
        <v>13.62425</v>
      </c>
      <c r="R25" s="62">
        <f t="shared" si="4"/>
        <v>13.62425</v>
      </c>
      <c r="S25" s="43">
        <v>0</v>
      </c>
      <c r="T25" s="43">
        <f t="shared" si="5"/>
        <v>346.32843500000007</v>
      </c>
      <c r="U25" s="43">
        <f t="shared" si="6"/>
        <v>2378.521565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45689</v>
      </c>
      <c r="H26" s="63">
        <v>5</v>
      </c>
      <c r="I26" s="64"/>
      <c r="J26" s="14">
        <v>30</v>
      </c>
      <c r="K26" s="62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45689</v>
      </c>
      <c r="H27" s="40">
        <v>5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45689</v>
      </c>
      <c r="H28" s="40">
        <v>5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62">
        <f t="shared" si="1"/>
        <v>250</v>
      </c>
      <c r="P28" s="62">
        <f t="shared" si="2"/>
        <v>42.75</v>
      </c>
      <c r="Q28" s="62">
        <f t="shared" si="3"/>
        <v>12.5</v>
      </c>
      <c r="R28" s="62">
        <f t="shared" si="4"/>
        <v>12.5</v>
      </c>
      <c r="S28" s="43">
        <v>0</v>
      </c>
      <c r="T28" s="43">
        <f t="shared" si="5"/>
        <v>317.75</v>
      </c>
      <c r="U28" s="43">
        <f t="shared" si="6"/>
        <v>2182.25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45689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 t="shared" si="0"/>
        <v>2546.16</v>
      </c>
      <c r="O29" s="62">
        <f t="shared" si="1"/>
        <v>254.61599999999999</v>
      </c>
      <c r="P29" s="62">
        <f t="shared" si="2"/>
        <v>43.539335999999999</v>
      </c>
      <c r="Q29" s="62">
        <f t="shared" si="3"/>
        <v>12.7308</v>
      </c>
      <c r="R29" s="62">
        <f t="shared" si="4"/>
        <v>12.7308</v>
      </c>
      <c r="S29" s="43">
        <v>0</v>
      </c>
      <c r="T29" s="43">
        <f t="shared" si="5"/>
        <v>323.61693599999995</v>
      </c>
      <c r="U29" s="43">
        <f t="shared" si="6"/>
        <v>2222.543064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59">
        <v>45689</v>
      </c>
      <c r="H30" s="40">
        <v>4</v>
      </c>
      <c r="I30" s="76"/>
      <c r="J30" s="75">
        <v>30</v>
      </c>
      <c r="K30" s="68">
        <v>2500</v>
      </c>
      <c r="L30" s="69"/>
      <c r="M30" s="43">
        <v>0</v>
      </c>
      <c r="N30" s="62">
        <f t="shared" si="0"/>
        <v>2500</v>
      </c>
      <c r="O30" s="62">
        <f t="shared" si="1"/>
        <v>250</v>
      </c>
      <c r="P30" s="62">
        <f t="shared" si="2"/>
        <v>42.75</v>
      </c>
      <c r="Q30" s="62">
        <f t="shared" si="3"/>
        <v>12.5</v>
      </c>
      <c r="R30" s="62">
        <f t="shared" si="4"/>
        <v>12.5</v>
      </c>
      <c r="S30" s="43">
        <v>0</v>
      </c>
      <c r="T30" s="43">
        <f t="shared" si="5"/>
        <v>317.75</v>
      </c>
      <c r="U30" s="43">
        <f t="shared" si="6"/>
        <v>2182.25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59">
        <v>45689</v>
      </c>
      <c r="H31" s="40">
        <v>5</v>
      </c>
      <c r="I31" s="76"/>
      <c r="J31" s="75">
        <v>30</v>
      </c>
      <c r="K31" s="68">
        <v>2500</v>
      </c>
      <c r="L31" s="69"/>
      <c r="M31" s="43">
        <v>0</v>
      </c>
      <c r="N31" s="62">
        <f t="shared" si="0"/>
        <v>2500</v>
      </c>
      <c r="O31" s="62">
        <f t="shared" si="1"/>
        <v>250</v>
      </c>
      <c r="P31" s="62">
        <f t="shared" si="2"/>
        <v>42.75</v>
      </c>
      <c r="Q31" s="62">
        <f t="shared" si="3"/>
        <v>12.5</v>
      </c>
      <c r="R31" s="62">
        <f t="shared" si="4"/>
        <v>12.5</v>
      </c>
      <c r="S31" s="43">
        <v>0</v>
      </c>
      <c r="T31" s="43">
        <f t="shared" si="5"/>
        <v>317.75</v>
      </c>
      <c r="U31" s="43">
        <f t="shared" si="6"/>
        <v>2182.25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60104.869999999995</v>
      </c>
      <c r="L32" s="32"/>
      <c r="M32" s="32">
        <f>SUM(M16:M29)</f>
        <v>0</v>
      </c>
      <c r="N32" s="32">
        <f>SUM(N11:N31)</f>
        <v>60104.869999999995</v>
      </c>
      <c r="O32" s="32">
        <f>SUM(O11:O31)</f>
        <v>6010.4870000000001</v>
      </c>
      <c r="P32" s="32">
        <f>SUM(P11:P31)</f>
        <v>1027.7932770000002</v>
      </c>
      <c r="Q32" s="32">
        <f>SUM(Q11:Q31)</f>
        <v>300.52434999999997</v>
      </c>
      <c r="R32" s="32">
        <f>SUM(R11:R31)</f>
        <v>300.52434999999997</v>
      </c>
      <c r="S32" s="32">
        <f>SUM(S16:S31)</f>
        <v>0</v>
      </c>
      <c r="T32" s="32">
        <f>SUM(T11:T31)</f>
        <v>7639.3289770000001</v>
      </c>
      <c r="U32" s="32">
        <f>SUM(U11:U31)</f>
        <v>52465.541022999998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7639.3289770000001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259</v>
      </c>
      <c r="L36"/>
      <c r="M36"/>
      <c r="N36"/>
      <c r="O36"/>
      <c r="P36"/>
      <c r="Q36"/>
      <c r="R36"/>
      <c r="S36"/>
      <c r="T36"/>
      <c r="U36"/>
      <c r="V36"/>
    </row>
  </sheetData>
  <mergeCells count="17"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Z42"/>
  <sheetViews>
    <sheetView topLeftCell="A23" workbookViewId="0">
      <selection activeCell="M42" sqref="M42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260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10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212" t="s">
        <v>15</v>
      </c>
      <c r="K9" s="235"/>
      <c r="L9" s="211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11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45689</v>
      </c>
      <c r="H11" s="14">
        <v>5</v>
      </c>
      <c r="I11" s="45"/>
      <c r="J11" s="58">
        <v>30</v>
      </c>
      <c r="K11" s="155">
        <v>2587.36</v>
      </c>
      <c r="L11" s="60"/>
      <c r="M11" s="43">
        <v>0</v>
      </c>
      <c r="N11" s="62">
        <f t="shared" ref="N11:N31" si="0">K11+M11</f>
        <v>2587.36</v>
      </c>
      <c r="O11" s="62">
        <f t="shared" ref="O11:O31" si="1">+N11*0.1</f>
        <v>258.73600000000005</v>
      </c>
      <c r="P11" s="62">
        <f t="shared" ref="P11:P31" si="2">+N11*0.0171</f>
        <v>44.243856000000001</v>
      </c>
      <c r="Q11" s="62">
        <f t="shared" ref="Q11:Q31" si="3">+N11*0.005</f>
        <v>12.936800000000002</v>
      </c>
      <c r="R11" s="62">
        <f t="shared" ref="R11:R31" si="4">N11*0.5%</f>
        <v>12.936800000000002</v>
      </c>
      <c r="S11" s="43">
        <v>0</v>
      </c>
      <c r="T11" s="43">
        <f t="shared" ref="T11:T31" si="5">+O11+P11+Q11+R11+S11</f>
        <v>328.85345600000005</v>
      </c>
      <c r="U11" s="43">
        <f t="shared" ref="U11:U31" si="6">+N11-T11</f>
        <v>2258.5065439999998</v>
      </c>
      <c r="V11" s="55"/>
    </row>
    <row r="12" spans="1:24" ht="22.5" customHeight="1">
      <c r="A12" s="57">
        <v>2</v>
      </c>
      <c r="B12" s="56" t="s">
        <v>250</v>
      </c>
      <c r="C12" s="66" t="s">
        <v>251</v>
      </c>
      <c r="D12" s="55"/>
      <c r="E12" s="55"/>
      <c r="F12" s="123" t="s">
        <v>252</v>
      </c>
      <c r="G12" s="59">
        <v>45689</v>
      </c>
      <c r="H12" s="14">
        <v>5</v>
      </c>
      <c r="I12" s="45"/>
      <c r="J12" s="58">
        <v>30</v>
      </c>
      <c r="K12" s="155">
        <v>3000</v>
      </c>
      <c r="L12" s="60"/>
      <c r="M12" s="43">
        <v>0</v>
      </c>
      <c r="N12" s="62">
        <f t="shared" si="0"/>
        <v>3000</v>
      </c>
      <c r="O12" s="62">
        <f t="shared" si="1"/>
        <v>300</v>
      </c>
      <c r="P12" s="62">
        <f t="shared" si="2"/>
        <v>51.300000000000004</v>
      </c>
      <c r="Q12" s="62">
        <f t="shared" si="3"/>
        <v>15</v>
      </c>
      <c r="R12" s="62">
        <f t="shared" si="4"/>
        <v>15</v>
      </c>
      <c r="S12" s="43">
        <v>0</v>
      </c>
      <c r="T12" s="43">
        <f t="shared" si="5"/>
        <v>381.3</v>
      </c>
      <c r="U12" s="43">
        <f t="shared" si="6"/>
        <v>2618.6999999999998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253</v>
      </c>
      <c r="G13" s="59">
        <v>45689</v>
      </c>
      <c r="H13" s="14">
        <v>5</v>
      </c>
      <c r="I13" s="45"/>
      <c r="J13" s="58">
        <v>30</v>
      </c>
      <c r="K13" s="155">
        <v>3000</v>
      </c>
      <c r="L13" s="60"/>
      <c r="M13" s="43">
        <v>0</v>
      </c>
      <c r="N13" s="62">
        <f t="shared" si="0"/>
        <v>3000</v>
      </c>
      <c r="O13" s="62">
        <f t="shared" si="1"/>
        <v>300</v>
      </c>
      <c r="P13" s="62">
        <f t="shared" si="2"/>
        <v>51.300000000000004</v>
      </c>
      <c r="Q13" s="62">
        <f t="shared" si="3"/>
        <v>15</v>
      </c>
      <c r="R13" s="62">
        <f t="shared" si="4"/>
        <v>15</v>
      </c>
      <c r="S13" s="43">
        <v>0</v>
      </c>
      <c r="T13" s="43">
        <f t="shared" si="5"/>
        <v>381.3</v>
      </c>
      <c r="U13" s="43">
        <f t="shared" si="6"/>
        <v>2618.6999999999998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3">
        <v>0</v>
      </c>
      <c r="N14" s="62">
        <f t="shared" si="0"/>
        <v>2546.16</v>
      </c>
      <c r="O14" s="62">
        <f t="shared" si="1"/>
        <v>254.61599999999999</v>
      </c>
      <c r="P14" s="62">
        <f t="shared" si="2"/>
        <v>43.539335999999999</v>
      </c>
      <c r="Q14" s="62">
        <f t="shared" si="3"/>
        <v>12.7308</v>
      </c>
      <c r="R14" s="62">
        <f t="shared" si="4"/>
        <v>12.7308</v>
      </c>
      <c r="S14" s="43">
        <v>0</v>
      </c>
      <c r="T14" s="43">
        <f t="shared" si="5"/>
        <v>323.61693599999995</v>
      </c>
      <c r="U14" s="43">
        <f t="shared" si="6"/>
        <v>2222.543064</v>
      </c>
      <c r="V14" s="55"/>
    </row>
    <row r="15" spans="1:24" ht="22.5" customHeight="1">
      <c r="A15" s="57">
        <v>5</v>
      </c>
      <c r="B15" s="41" t="s">
        <v>254</v>
      </c>
      <c r="C15" s="41" t="s">
        <v>255</v>
      </c>
      <c r="D15" s="42"/>
      <c r="E15" s="14"/>
      <c r="F15" s="41" t="s">
        <v>32</v>
      </c>
      <c r="G15" s="59">
        <v>45689</v>
      </c>
      <c r="H15" s="63">
        <v>5</v>
      </c>
      <c r="I15" s="64"/>
      <c r="J15" s="14">
        <v>30</v>
      </c>
      <c r="K15" s="62">
        <v>2546.16</v>
      </c>
      <c r="L15" s="60"/>
      <c r="M15" s="43">
        <v>0</v>
      </c>
      <c r="N15" s="62">
        <f t="shared" si="0"/>
        <v>2546.16</v>
      </c>
      <c r="O15" s="62">
        <f t="shared" si="1"/>
        <v>254.61599999999999</v>
      </c>
      <c r="P15" s="62">
        <f t="shared" si="2"/>
        <v>43.539335999999999</v>
      </c>
      <c r="Q15" s="62">
        <f t="shared" si="3"/>
        <v>12.7308</v>
      </c>
      <c r="R15" s="62">
        <f t="shared" si="4"/>
        <v>12.7308</v>
      </c>
      <c r="S15" s="43">
        <v>0</v>
      </c>
      <c r="T15" s="43">
        <f t="shared" si="5"/>
        <v>323.61693599999995</v>
      </c>
      <c r="U15" s="43">
        <f t="shared" si="6"/>
        <v>2222.543064</v>
      </c>
      <c r="V15" s="55"/>
    </row>
    <row r="16" spans="1:24" ht="22.5" customHeight="1">
      <c r="A16" s="57">
        <v>6</v>
      </c>
      <c r="B16" s="41" t="s">
        <v>44</v>
      </c>
      <c r="C16" s="41" t="s">
        <v>61</v>
      </c>
      <c r="D16" s="42"/>
      <c r="E16" s="14"/>
      <c r="F16" s="41" t="s">
        <v>49</v>
      </c>
      <c r="G16" s="59">
        <v>45689</v>
      </c>
      <c r="H16" s="63">
        <v>5</v>
      </c>
      <c r="I16" s="64"/>
      <c r="J16" s="14">
        <v>30</v>
      </c>
      <c r="K16" s="62">
        <v>4460</v>
      </c>
      <c r="L16" s="62"/>
      <c r="M16" s="43">
        <v>0</v>
      </c>
      <c r="N16" s="62">
        <f t="shared" si="0"/>
        <v>4460</v>
      </c>
      <c r="O16" s="62">
        <f t="shared" si="1"/>
        <v>446</v>
      </c>
      <c r="P16" s="62">
        <f t="shared" si="2"/>
        <v>76.266000000000005</v>
      </c>
      <c r="Q16" s="62">
        <f t="shared" si="3"/>
        <v>22.3</v>
      </c>
      <c r="R16" s="62">
        <f t="shared" si="4"/>
        <v>22.3</v>
      </c>
      <c r="S16" s="43">
        <v>0</v>
      </c>
      <c r="T16" s="43">
        <f t="shared" si="5"/>
        <v>566.86599999999987</v>
      </c>
      <c r="U16" s="43">
        <f t="shared" si="6"/>
        <v>3893.134</v>
      </c>
      <c r="V16" s="44"/>
      <c r="X16" s="45"/>
    </row>
    <row r="17" spans="1:24" ht="22.5" customHeight="1">
      <c r="A17" s="57">
        <v>7</v>
      </c>
      <c r="B17" s="41" t="s">
        <v>79</v>
      </c>
      <c r="C17" s="41" t="s">
        <v>80</v>
      </c>
      <c r="D17" s="42"/>
      <c r="E17" s="14"/>
      <c r="F17" s="41" t="s">
        <v>148</v>
      </c>
      <c r="G17" s="59">
        <v>45689</v>
      </c>
      <c r="H17" s="40">
        <v>5</v>
      </c>
      <c r="J17" s="15">
        <v>30</v>
      </c>
      <c r="K17" s="38">
        <v>4389</v>
      </c>
      <c r="L17" s="62"/>
      <c r="M17" s="43">
        <v>0</v>
      </c>
      <c r="N17" s="62">
        <f t="shared" si="0"/>
        <v>4389</v>
      </c>
      <c r="O17" s="62">
        <f t="shared" si="1"/>
        <v>438.90000000000003</v>
      </c>
      <c r="P17" s="62">
        <f t="shared" si="2"/>
        <v>75.051900000000003</v>
      </c>
      <c r="Q17" s="62">
        <f t="shared" si="3"/>
        <v>21.945</v>
      </c>
      <c r="R17" s="62">
        <f t="shared" si="4"/>
        <v>21.945</v>
      </c>
      <c r="S17" s="43">
        <v>0</v>
      </c>
      <c r="T17" s="43">
        <f t="shared" si="5"/>
        <v>557.84190000000012</v>
      </c>
      <c r="U17" s="43">
        <f t="shared" si="6"/>
        <v>3831.1580999999996</v>
      </c>
      <c r="V17" s="44"/>
      <c r="X17" s="45"/>
    </row>
    <row r="18" spans="1:24" ht="22.5" customHeight="1">
      <c r="A18" s="57">
        <v>8</v>
      </c>
      <c r="B18" s="110" t="s">
        <v>19</v>
      </c>
      <c r="C18" s="110" t="s">
        <v>20</v>
      </c>
      <c r="D18" s="42"/>
      <c r="E18" s="14"/>
      <c r="F18" s="41" t="s">
        <v>178</v>
      </c>
      <c r="G18" s="59">
        <v>45689</v>
      </c>
      <c r="H18" s="40">
        <v>5</v>
      </c>
      <c r="J18" s="15">
        <v>30</v>
      </c>
      <c r="K18" s="38">
        <v>3022.72</v>
      </c>
      <c r="L18" s="62"/>
      <c r="M18" s="43">
        <v>0</v>
      </c>
      <c r="N18" s="62">
        <f t="shared" si="0"/>
        <v>3022.72</v>
      </c>
      <c r="O18" s="62">
        <f t="shared" si="1"/>
        <v>302.27199999999999</v>
      </c>
      <c r="P18" s="62">
        <f t="shared" si="2"/>
        <v>51.688511999999996</v>
      </c>
      <c r="Q18" s="62">
        <f t="shared" si="3"/>
        <v>15.1136</v>
      </c>
      <c r="R18" s="62">
        <f t="shared" si="4"/>
        <v>15.1136</v>
      </c>
      <c r="S18" s="43">
        <v>0</v>
      </c>
      <c r="T18" s="43">
        <f t="shared" si="5"/>
        <v>384.18771200000003</v>
      </c>
      <c r="U18" s="43">
        <f t="shared" si="6"/>
        <v>2638.5322879999999</v>
      </c>
      <c r="V18" s="44"/>
      <c r="X18" s="45"/>
    </row>
    <row r="19" spans="1:24" ht="22.5" customHeight="1">
      <c r="A19" s="57">
        <v>9</v>
      </c>
      <c r="B19" s="110" t="s">
        <v>101</v>
      </c>
      <c r="C19" s="110" t="s">
        <v>102</v>
      </c>
      <c r="D19" s="119"/>
      <c r="E19" s="120" t="s">
        <v>180</v>
      </c>
      <c r="F19" s="121" t="s">
        <v>103</v>
      </c>
      <c r="G19" s="59">
        <v>45689</v>
      </c>
      <c r="H19" s="40">
        <v>5</v>
      </c>
      <c r="J19" s="15">
        <v>30</v>
      </c>
      <c r="K19" s="38">
        <v>3159.05</v>
      </c>
      <c r="L19" s="62"/>
      <c r="M19" s="43">
        <v>0</v>
      </c>
      <c r="N19" s="62">
        <f t="shared" si="0"/>
        <v>3159.05</v>
      </c>
      <c r="O19" s="62">
        <f t="shared" si="1"/>
        <v>315.90500000000003</v>
      </c>
      <c r="P19" s="62">
        <f t="shared" si="2"/>
        <v>54.019755000000004</v>
      </c>
      <c r="Q19" s="62">
        <f t="shared" si="3"/>
        <v>15.795250000000001</v>
      </c>
      <c r="R19" s="62">
        <f t="shared" si="4"/>
        <v>15.795250000000001</v>
      </c>
      <c r="S19" s="43">
        <v>0</v>
      </c>
      <c r="T19" s="43">
        <f t="shared" si="5"/>
        <v>401.51525500000002</v>
      </c>
      <c r="U19" s="43">
        <f t="shared" si="6"/>
        <v>2757.5347449999999</v>
      </c>
      <c r="V19" s="44"/>
      <c r="X19" s="45"/>
    </row>
    <row r="20" spans="1:24" ht="22.5" customHeight="1">
      <c r="A20" s="57">
        <v>10</v>
      </c>
      <c r="B20" s="41" t="s">
        <v>105</v>
      </c>
      <c r="C20" s="41" t="s">
        <v>104</v>
      </c>
      <c r="D20" s="42"/>
      <c r="E20" s="14"/>
      <c r="F20" s="41" t="s">
        <v>32</v>
      </c>
      <c r="G20" s="59">
        <v>45689</v>
      </c>
      <c r="H20" s="40">
        <v>5</v>
      </c>
      <c r="J20" s="15">
        <v>30</v>
      </c>
      <c r="K20" s="38">
        <v>2546.16</v>
      </c>
      <c r="L20" s="62"/>
      <c r="M20" s="43">
        <v>0</v>
      </c>
      <c r="N20" s="62">
        <f t="shared" si="0"/>
        <v>2546.16</v>
      </c>
      <c r="O20" s="62">
        <f t="shared" si="1"/>
        <v>254.61599999999999</v>
      </c>
      <c r="P20" s="62">
        <f t="shared" si="2"/>
        <v>43.539335999999999</v>
      </c>
      <c r="Q20" s="62">
        <f t="shared" si="3"/>
        <v>12.7308</v>
      </c>
      <c r="R20" s="62">
        <f t="shared" si="4"/>
        <v>12.7308</v>
      </c>
      <c r="S20" s="43">
        <v>0</v>
      </c>
      <c r="T20" s="43">
        <f t="shared" si="5"/>
        <v>323.61693599999995</v>
      </c>
      <c r="U20" s="43">
        <f t="shared" si="6"/>
        <v>2222.543064</v>
      </c>
      <c r="V20" s="44"/>
      <c r="X20" s="45"/>
    </row>
    <row r="21" spans="1:24" ht="26.25" customHeight="1">
      <c r="A21" s="57">
        <v>11</v>
      </c>
      <c r="B21" s="110" t="s">
        <v>69</v>
      </c>
      <c r="C21" s="111" t="s">
        <v>70</v>
      </c>
      <c r="D21" s="127"/>
      <c r="E21" s="128" t="s">
        <v>199</v>
      </c>
      <c r="F21" s="208" t="s">
        <v>256</v>
      </c>
      <c r="G21" s="59">
        <v>45689</v>
      </c>
      <c r="H21" s="40">
        <v>5</v>
      </c>
      <c r="J21" s="15">
        <v>30</v>
      </c>
      <c r="K21" s="38">
        <v>2652.25</v>
      </c>
      <c r="L21" s="62"/>
      <c r="M21" s="43">
        <v>0</v>
      </c>
      <c r="N21" s="62">
        <f t="shared" si="0"/>
        <v>2652.25</v>
      </c>
      <c r="O21" s="62">
        <f t="shared" si="1"/>
        <v>265.22500000000002</v>
      </c>
      <c r="P21" s="62">
        <f t="shared" si="2"/>
        <v>45.353475000000003</v>
      </c>
      <c r="Q21" s="62">
        <f t="shared" si="3"/>
        <v>13.26125</v>
      </c>
      <c r="R21" s="62">
        <f t="shared" si="4"/>
        <v>13.26125</v>
      </c>
      <c r="S21" s="43">
        <v>0</v>
      </c>
      <c r="T21" s="43">
        <f t="shared" si="5"/>
        <v>337.10097500000006</v>
      </c>
      <c r="U21" s="43">
        <f t="shared" si="6"/>
        <v>2315.1490249999997</v>
      </c>
      <c r="V21" s="44"/>
      <c r="X21" s="45"/>
    </row>
    <row r="22" spans="1:24" ht="22.5" customHeight="1">
      <c r="A22" s="57">
        <v>12</v>
      </c>
      <c r="B22" s="21" t="s">
        <v>85</v>
      </c>
      <c r="C22" s="21" t="s">
        <v>86</v>
      </c>
      <c r="D22" s="20"/>
      <c r="E22" s="22" t="s">
        <v>40</v>
      </c>
      <c r="F22" s="30" t="s">
        <v>40</v>
      </c>
      <c r="G22" s="59">
        <v>45689</v>
      </c>
      <c r="H22" s="14">
        <v>5</v>
      </c>
      <c r="I22" s="43">
        <v>2122</v>
      </c>
      <c r="J22" s="14">
        <v>30</v>
      </c>
      <c r="K22" s="62">
        <v>2500</v>
      </c>
      <c r="L22" s="62"/>
      <c r="M22" s="43">
        <v>0</v>
      </c>
      <c r="N22" s="62">
        <f t="shared" si="0"/>
        <v>2500</v>
      </c>
      <c r="O22" s="62">
        <f t="shared" si="1"/>
        <v>250</v>
      </c>
      <c r="P22" s="62">
        <f t="shared" si="2"/>
        <v>42.75</v>
      </c>
      <c r="Q22" s="62">
        <f t="shared" si="3"/>
        <v>12.5</v>
      </c>
      <c r="R22" s="62">
        <f t="shared" si="4"/>
        <v>12.5</v>
      </c>
      <c r="S22" s="43">
        <v>0</v>
      </c>
      <c r="T22" s="43">
        <f t="shared" si="5"/>
        <v>317.75</v>
      </c>
      <c r="U22" s="43">
        <f t="shared" si="6"/>
        <v>2182.25</v>
      </c>
      <c r="V22" s="44"/>
      <c r="X22" s="45"/>
    </row>
    <row r="23" spans="1:24" ht="22.5" customHeight="1">
      <c r="A23" s="57">
        <v>13</v>
      </c>
      <c r="B23" s="21" t="s">
        <v>257</v>
      </c>
      <c r="C23" s="21" t="s">
        <v>258</v>
      </c>
      <c r="D23" s="20"/>
      <c r="E23" s="22"/>
      <c r="F23" s="30" t="s">
        <v>73</v>
      </c>
      <c r="G23" s="59">
        <v>45689</v>
      </c>
      <c r="H23" s="14">
        <v>5</v>
      </c>
      <c r="I23" s="209"/>
      <c r="J23" s="14">
        <v>30</v>
      </c>
      <c r="K23" s="62">
        <v>2600</v>
      </c>
      <c r="L23" s="62"/>
      <c r="M23" s="43">
        <v>0</v>
      </c>
      <c r="N23" s="62">
        <f t="shared" si="0"/>
        <v>2600</v>
      </c>
      <c r="O23" s="62">
        <f t="shared" si="1"/>
        <v>260</v>
      </c>
      <c r="P23" s="62">
        <f t="shared" si="2"/>
        <v>44.46</v>
      </c>
      <c r="Q23" s="62">
        <f t="shared" si="3"/>
        <v>13</v>
      </c>
      <c r="R23" s="62">
        <f t="shared" si="4"/>
        <v>13</v>
      </c>
      <c r="S23" s="43">
        <v>0</v>
      </c>
      <c r="T23" s="43">
        <f t="shared" si="5"/>
        <v>330.46</v>
      </c>
      <c r="U23" s="43">
        <f t="shared" si="6"/>
        <v>2269.54</v>
      </c>
      <c r="V23" s="44"/>
      <c r="X23" s="45"/>
    </row>
    <row r="24" spans="1:24" ht="22.5" customHeight="1">
      <c r="A24" s="57">
        <v>14</v>
      </c>
      <c r="B24" s="41" t="s">
        <v>45</v>
      </c>
      <c r="C24" s="41" t="s">
        <v>46</v>
      </c>
      <c r="D24" s="42"/>
      <c r="E24" s="14"/>
      <c r="F24" s="41" t="s">
        <v>47</v>
      </c>
      <c r="G24" s="30">
        <v>45689</v>
      </c>
      <c r="H24" s="63">
        <v>6</v>
      </c>
      <c r="I24" s="64"/>
      <c r="J24" s="14">
        <v>30</v>
      </c>
      <c r="K24" s="62">
        <v>3325</v>
      </c>
      <c r="L24" s="62"/>
      <c r="M24" s="43">
        <v>0</v>
      </c>
      <c r="N24" s="62">
        <f t="shared" si="0"/>
        <v>3325</v>
      </c>
      <c r="O24" s="62">
        <f t="shared" si="1"/>
        <v>332.5</v>
      </c>
      <c r="P24" s="62">
        <f t="shared" si="2"/>
        <v>56.857500000000002</v>
      </c>
      <c r="Q24" s="62">
        <f t="shared" si="3"/>
        <v>16.625</v>
      </c>
      <c r="R24" s="62">
        <f t="shared" si="4"/>
        <v>16.625</v>
      </c>
      <c r="S24" s="43">
        <v>0</v>
      </c>
      <c r="T24" s="43">
        <f t="shared" si="5"/>
        <v>422.60750000000002</v>
      </c>
      <c r="U24" s="43">
        <f>+N24-T24</f>
        <v>2902.3924999999999</v>
      </c>
      <c r="V24" s="44"/>
      <c r="X24" s="108"/>
    </row>
    <row r="25" spans="1:24" ht="22.5" customHeight="1">
      <c r="A25" s="57">
        <v>15</v>
      </c>
      <c r="B25" s="41" t="s">
        <v>31</v>
      </c>
      <c r="C25" s="41" t="s">
        <v>62</v>
      </c>
      <c r="D25" s="42"/>
      <c r="E25" s="14"/>
      <c r="F25" s="41" t="s">
        <v>32</v>
      </c>
      <c r="G25" s="59">
        <v>45689</v>
      </c>
      <c r="H25" s="40">
        <v>5</v>
      </c>
      <c r="J25" s="15">
        <v>30</v>
      </c>
      <c r="K25" s="38">
        <v>2724.85</v>
      </c>
      <c r="L25" s="62"/>
      <c r="M25" s="43">
        <v>0</v>
      </c>
      <c r="N25" s="62">
        <f t="shared" si="0"/>
        <v>2724.85</v>
      </c>
      <c r="O25" s="62">
        <f t="shared" si="1"/>
        <v>272.48500000000001</v>
      </c>
      <c r="P25" s="62">
        <f t="shared" si="2"/>
        <v>46.594935</v>
      </c>
      <c r="Q25" s="62">
        <f t="shared" si="3"/>
        <v>13.62425</v>
      </c>
      <c r="R25" s="62">
        <f t="shared" si="4"/>
        <v>13.62425</v>
      </c>
      <c r="S25" s="43">
        <v>0</v>
      </c>
      <c r="T25" s="43">
        <f t="shared" si="5"/>
        <v>346.32843500000007</v>
      </c>
      <c r="U25" s="43">
        <f t="shared" si="6"/>
        <v>2378.521565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45689</v>
      </c>
      <c r="H26" s="63">
        <v>5</v>
      </c>
      <c r="I26" s="64"/>
      <c r="J26" s="14">
        <v>30</v>
      </c>
      <c r="K26" s="62">
        <v>2500</v>
      </c>
      <c r="L26" s="62"/>
      <c r="M26" s="43">
        <v>0</v>
      </c>
      <c r="N26" s="62">
        <f t="shared" si="0"/>
        <v>2500</v>
      </c>
      <c r="O26" s="62">
        <f t="shared" si="1"/>
        <v>250</v>
      </c>
      <c r="P26" s="62">
        <f t="shared" si="2"/>
        <v>42.75</v>
      </c>
      <c r="Q26" s="62">
        <f t="shared" si="3"/>
        <v>12.5</v>
      </c>
      <c r="R26" s="62">
        <f t="shared" si="4"/>
        <v>12.5</v>
      </c>
      <c r="S26" s="43">
        <v>0</v>
      </c>
      <c r="T26" s="43">
        <f t="shared" si="5"/>
        <v>317.75</v>
      </c>
      <c r="U26" s="43">
        <f t="shared" si="6"/>
        <v>2182.25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45689</v>
      </c>
      <c r="H27" s="40">
        <v>5</v>
      </c>
      <c r="J27" s="15">
        <v>30</v>
      </c>
      <c r="K27" s="38">
        <v>2500</v>
      </c>
      <c r="L27" s="62"/>
      <c r="M27" s="43">
        <v>0</v>
      </c>
      <c r="N27" s="62">
        <f t="shared" si="0"/>
        <v>2500</v>
      </c>
      <c r="O27" s="62">
        <f t="shared" si="1"/>
        <v>250</v>
      </c>
      <c r="P27" s="62">
        <f t="shared" si="2"/>
        <v>42.75</v>
      </c>
      <c r="Q27" s="62">
        <f t="shared" si="3"/>
        <v>12.5</v>
      </c>
      <c r="R27" s="62">
        <f t="shared" si="4"/>
        <v>12.5</v>
      </c>
      <c r="S27" s="43">
        <v>0</v>
      </c>
      <c r="T27" s="43">
        <f t="shared" si="5"/>
        <v>317.75</v>
      </c>
      <c r="U27" s="43">
        <f t="shared" si="6"/>
        <v>2182.25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45689</v>
      </c>
      <c r="H28" s="40">
        <v>5</v>
      </c>
      <c r="J28" s="15">
        <v>30</v>
      </c>
      <c r="K28" s="38">
        <v>2500</v>
      </c>
      <c r="L28" s="62"/>
      <c r="M28" s="43">
        <v>0</v>
      </c>
      <c r="N28" s="62">
        <f t="shared" si="0"/>
        <v>2500</v>
      </c>
      <c r="O28" s="62">
        <f t="shared" si="1"/>
        <v>250</v>
      </c>
      <c r="P28" s="62">
        <f t="shared" si="2"/>
        <v>42.75</v>
      </c>
      <c r="Q28" s="62">
        <f t="shared" si="3"/>
        <v>12.5</v>
      </c>
      <c r="R28" s="62">
        <f t="shared" si="4"/>
        <v>12.5</v>
      </c>
      <c r="S28" s="43">
        <v>0</v>
      </c>
      <c r="T28" s="43">
        <f t="shared" si="5"/>
        <v>317.75</v>
      </c>
      <c r="U28" s="43">
        <f t="shared" si="6"/>
        <v>2182.25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45689</v>
      </c>
      <c r="H29" s="40">
        <v>5</v>
      </c>
      <c r="J29" s="15">
        <v>30</v>
      </c>
      <c r="K29" s="38">
        <v>2546.16</v>
      </c>
      <c r="L29" s="62"/>
      <c r="M29" s="43">
        <v>0</v>
      </c>
      <c r="N29" s="62">
        <f t="shared" si="0"/>
        <v>2546.16</v>
      </c>
      <c r="O29" s="62">
        <f t="shared" si="1"/>
        <v>254.61599999999999</v>
      </c>
      <c r="P29" s="62">
        <f t="shared" si="2"/>
        <v>43.539335999999999</v>
      </c>
      <c r="Q29" s="62">
        <f t="shared" si="3"/>
        <v>12.7308</v>
      </c>
      <c r="R29" s="62">
        <f t="shared" si="4"/>
        <v>12.7308</v>
      </c>
      <c r="S29" s="43">
        <v>0</v>
      </c>
      <c r="T29" s="43">
        <f t="shared" si="5"/>
        <v>323.61693599999995</v>
      </c>
      <c r="U29" s="43">
        <f t="shared" si="6"/>
        <v>2222.543064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59">
        <v>45689</v>
      </c>
      <c r="H30" s="40">
        <v>4</v>
      </c>
      <c r="I30" s="76"/>
      <c r="J30" s="75">
        <v>30</v>
      </c>
      <c r="K30" s="68">
        <v>2500</v>
      </c>
      <c r="L30" s="69"/>
      <c r="M30" s="43">
        <v>0</v>
      </c>
      <c r="N30" s="62">
        <f t="shared" si="0"/>
        <v>2500</v>
      </c>
      <c r="O30" s="62">
        <f t="shared" si="1"/>
        <v>250</v>
      </c>
      <c r="P30" s="62">
        <f t="shared" si="2"/>
        <v>42.75</v>
      </c>
      <c r="Q30" s="62">
        <f t="shared" si="3"/>
        <v>12.5</v>
      </c>
      <c r="R30" s="62">
        <f t="shared" si="4"/>
        <v>12.5</v>
      </c>
      <c r="S30" s="43">
        <v>0</v>
      </c>
      <c r="T30" s="43">
        <f t="shared" si="5"/>
        <v>317.75</v>
      </c>
      <c r="U30" s="43">
        <f t="shared" si="6"/>
        <v>2182.25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59">
        <v>45689</v>
      </c>
      <c r="H31" s="40">
        <v>5</v>
      </c>
      <c r="I31" s="76"/>
      <c r="J31" s="75">
        <v>30</v>
      </c>
      <c r="K31" s="68">
        <v>2500</v>
      </c>
      <c r="L31" s="69"/>
      <c r="M31" s="43">
        <v>0</v>
      </c>
      <c r="N31" s="62">
        <f t="shared" si="0"/>
        <v>2500</v>
      </c>
      <c r="O31" s="62">
        <f t="shared" si="1"/>
        <v>250</v>
      </c>
      <c r="P31" s="62">
        <f t="shared" si="2"/>
        <v>42.75</v>
      </c>
      <c r="Q31" s="62">
        <f t="shared" si="3"/>
        <v>12.5</v>
      </c>
      <c r="R31" s="62">
        <f t="shared" si="4"/>
        <v>12.5</v>
      </c>
      <c r="S31" s="43">
        <v>0</v>
      </c>
      <c r="T31" s="43">
        <f t="shared" si="5"/>
        <v>317.75</v>
      </c>
      <c r="U31" s="43">
        <f t="shared" si="6"/>
        <v>2182.25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60104.869999999995</v>
      </c>
      <c r="L32" s="32"/>
      <c r="M32" s="32">
        <f>SUM(M16:M29)</f>
        <v>0</v>
      </c>
      <c r="N32" s="32">
        <f>SUM(N11:N31)</f>
        <v>60104.869999999995</v>
      </c>
      <c r="O32" s="32">
        <f>SUM(O11:O31)</f>
        <v>6010.4870000000001</v>
      </c>
      <c r="P32" s="32">
        <f>SUM(P11:P31)</f>
        <v>1027.7932770000002</v>
      </c>
      <c r="Q32" s="32">
        <f>SUM(Q11:Q31)</f>
        <v>300.52434999999997</v>
      </c>
      <c r="R32" s="32">
        <f>SUM(R11:R31)</f>
        <v>300.52434999999997</v>
      </c>
      <c r="S32" s="32">
        <f>SUM(S16:S31)</f>
        <v>0</v>
      </c>
      <c r="T32" s="32">
        <f>SUM(T11:T31)</f>
        <v>7639.3289770000001</v>
      </c>
      <c r="U32" s="32">
        <f>SUM(U11:U31)</f>
        <v>52465.541022999998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7639.3289770000001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261</v>
      </c>
      <c r="L36"/>
      <c r="M36"/>
      <c r="N36"/>
      <c r="O36"/>
      <c r="P36"/>
      <c r="Q36"/>
      <c r="R36"/>
      <c r="S36"/>
      <c r="T36"/>
      <c r="U36"/>
      <c r="V36"/>
    </row>
    <row r="42" spans="1:26">
      <c r="M42" t="s">
        <v>270</v>
      </c>
    </row>
  </sheetData>
  <mergeCells count="17"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Z57"/>
  <sheetViews>
    <sheetView topLeftCell="A8" workbookViewId="0">
      <selection activeCell="M48" sqref="M48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262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13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215" t="s">
        <v>15</v>
      </c>
      <c r="K9" s="235"/>
      <c r="L9" s="214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14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45689</v>
      </c>
      <c r="H11" s="14">
        <v>5</v>
      </c>
      <c r="I11" s="45"/>
      <c r="J11" s="58">
        <v>30</v>
      </c>
      <c r="K11" s="62">
        <v>2750.1</v>
      </c>
      <c r="L11" s="60"/>
      <c r="M11" s="43">
        <v>0</v>
      </c>
      <c r="N11" s="62">
        <f t="shared" ref="N11:N31" si="0">K11+M11</f>
        <v>2750.1</v>
      </c>
      <c r="O11" s="62">
        <f t="shared" ref="O11:O31" si="1">+N11*0.1</f>
        <v>275.01</v>
      </c>
      <c r="P11" s="62">
        <f t="shared" ref="P11:P31" si="2">+N11*0.0171</f>
        <v>47.026710000000001</v>
      </c>
      <c r="Q11" s="62">
        <f t="shared" ref="Q11:Q31" si="3">+N11*0.005</f>
        <v>13.750500000000001</v>
      </c>
      <c r="R11" s="62">
        <f t="shared" ref="R11:R31" si="4">N11*0.5%</f>
        <v>13.750500000000001</v>
      </c>
      <c r="S11" s="43">
        <v>0</v>
      </c>
      <c r="T11" s="43">
        <f t="shared" ref="T11:T31" si="5">+O11+P11+Q11+R11+S11</f>
        <v>349.53770999999995</v>
      </c>
      <c r="U11" s="43">
        <f t="shared" ref="U11:U31" si="6">+N11-T11</f>
        <v>2400.5622899999998</v>
      </c>
      <c r="V11" s="55"/>
    </row>
    <row r="12" spans="1:24" ht="22.5" customHeight="1">
      <c r="A12" s="57">
        <v>2</v>
      </c>
      <c r="B12" s="56" t="s">
        <v>250</v>
      </c>
      <c r="C12" s="66" t="s">
        <v>251</v>
      </c>
      <c r="D12" s="55"/>
      <c r="E12" s="55"/>
      <c r="F12" s="123" t="s">
        <v>252</v>
      </c>
      <c r="G12" s="59">
        <v>45689</v>
      </c>
      <c r="H12" s="14">
        <v>5</v>
      </c>
      <c r="I12" s="45"/>
      <c r="J12" s="58">
        <v>30</v>
      </c>
      <c r="K12" s="62">
        <v>3150</v>
      </c>
      <c r="L12" s="60"/>
      <c r="M12" s="43">
        <v>0</v>
      </c>
      <c r="N12" s="62">
        <f t="shared" si="0"/>
        <v>3150</v>
      </c>
      <c r="O12" s="62">
        <f t="shared" si="1"/>
        <v>315</v>
      </c>
      <c r="P12" s="62">
        <f t="shared" si="2"/>
        <v>53.865000000000002</v>
      </c>
      <c r="Q12" s="62">
        <f t="shared" si="3"/>
        <v>15.75</v>
      </c>
      <c r="R12" s="62">
        <f t="shared" si="4"/>
        <v>15.75</v>
      </c>
      <c r="S12" s="43">
        <v>0</v>
      </c>
      <c r="T12" s="43">
        <f t="shared" si="5"/>
        <v>400.36500000000001</v>
      </c>
      <c r="U12" s="43">
        <f t="shared" si="6"/>
        <v>2749.6350000000002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253</v>
      </c>
      <c r="G13" s="59">
        <v>45689</v>
      </c>
      <c r="H13" s="14">
        <v>5</v>
      </c>
      <c r="I13" s="45"/>
      <c r="J13" s="58">
        <v>30</v>
      </c>
      <c r="K13" s="62">
        <v>3150</v>
      </c>
      <c r="L13" s="60"/>
      <c r="M13" s="43">
        <v>0</v>
      </c>
      <c r="N13" s="62">
        <f t="shared" si="0"/>
        <v>3150</v>
      </c>
      <c r="O13" s="62">
        <f t="shared" si="1"/>
        <v>315</v>
      </c>
      <c r="P13" s="62">
        <f t="shared" si="2"/>
        <v>53.865000000000002</v>
      </c>
      <c r="Q13" s="62">
        <f t="shared" si="3"/>
        <v>15.75</v>
      </c>
      <c r="R13" s="62">
        <f t="shared" si="4"/>
        <v>15.75</v>
      </c>
      <c r="S13" s="43">
        <v>0</v>
      </c>
      <c r="T13" s="43">
        <f t="shared" si="5"/>
        <v>400.36500000000001</v>
      </c>
      <c r="U13" s="43">
        <f t="shared" si="6"/>
        <v>2749.6350000000002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2750.11</v>
      </c>
      <c r="L14" s="60"/>
      <c r="M14" s="43">
        <v>0</v>
      </c>
      <c r="N14" s="62">
        <f t="shared" si="0"/>
        <v>2750.11</v>
      </c>
      <c r="O14" s="62">
        <f t="shared" si="1"/>
        <v>275.01100000000002</v>
      </c>
      <c r="P14" s="62">
        <f t="shared" si="2"/>
        <v>47.026881000000003</v>
      </c>
      <c r="Q14" s="62">
        <f t="shared" si="3"/>
        <v>13.75055</v>
      </c>
      <c r="R14" s="62">
        <f t="shared" si="4"/>
        <v>13.75055</v>
      </c>
      <c r="S14" s="43">
        <v>0</v>
      </c>
      <c r="T14" s="43">
        <f t="shared" si="5"/>
        <v>349.53898099999998</v>
      </c>
      <c r="U14" s="43">
        <f t="shared" si="6"/>
        <v>2400.571019</v>
      </c>
      <c r="V14" s="55"/>
    </row>
    <row r="15" spans="1:24" ht="22.5" customHeight="1">
      <c r="A15" s="57">
        <v>5</v>
      </c>
      <c r="B15" s="41" t="s">
        <v>254</v>
      </c>
      <c r="C15" s="41" t="s">
        <v>255</v>
      </c>
      <c r="D15" s="42"/>
      <c r="E15" s="14"/>
      <c r="F15" s="41" t="s">
        <v>32</v>
      </c>
      <c r="G15" s="59">
        <v>45689</v>
      </c>
      <c r="H15" s="63">
        <v>5</v>
      </c>
      <c r="I15" s="64"/>
      <c r="J15" s="14">
        <v>30</v>
      </c>
      <c r="K15" s="62">
        <v>2750.11</v>
      </c>
      <c r="L15" s="60"/>
      <c r="M15" s="43">
        <v>0</v>
      </c>
      <c r="N15" s="62">
        <f t="shared" si="0"/>
        <v>2750.11</v>
      </c>
      <c r="O15" s="62">
        <f t="shared" si="1"/>
        <v>275.01100000000002</v>
      </c>
      <c r="P15" s="62">
        <f t="shared" si="2"/>
        <v>47.026881000000003</v>
      </c>
      <c r="Q15" s="62">
        <f t="shared" si="3"/>
        <v>13.75055</v>
      </c>
      <c r="R15" s="62">
        <f t="shared" si="4"/>
        <v>13.75055</v>
      </c>
      <c r="S15" s="43">
        <v>0</v>
      </c>
      <c r="T15" s="43">
        <f t="shared" si="5"/>
        <v>349.53898099999998</v>
      </c>
      <c r="U15" s="43">
        <f t="shared" si="6"/>
        <v>2400.571019</v>
      </c>
      <c r="V15" s="55"/>
    </row>
    <row r="16" spans="1:24" ht="22.5" customHeight="1">
      <c r="A16" s="57">
        <v>6</v>
      </c>
      <c r="B16" s="41" t="s">
        <v>44</v>
      </c>
      <c r="C16" s="41" t="s">
        <v>61</v>
      </c>
      <c r="D16" s="42"/>
      <c r="E16" s="14"/>
      <c r="F16" s="41" t="s">
        <v>49</v>
      </c>
      <c r="G16" s="59">
        <v>45689</v>
      </c>
      <c r="H16" s="63">
        <v>5</v>
      </c>
      <c r="I16" s="64"/>
      <c r="J16" s="14">
        <v>30</v>
      </c>
      <c r="K16" s="62">
        <v>4683</v>
      </c>
      <c r="L16" s="62"/>
      <c r="M16" s="43">
        <v>0</v>
      </c>
      <c r="N16" s="62">
        <f t="shared" si="0"/>
        <v>4683</v>
      </c>
      <c r="O16" s="62">
        <f t="shared" si="1"/>
        <v>468.3</v>
      </c>
      <c r="P16" s="62">
        <f t="shared" si="2"/>
        <v>80.079300000000003</v>
      </c>
      <c r="Q16" s="62">
        <f t="shared" si="3"/>
        <v>23.414999999999999</v>
      </c>
      <c r="R16" s="62">
        <f t="shared" si="4"/>
        <v>23.414999999999999</v>
      </c>
      <c r="S16" s="43">
        <v>0</v>
      </c>
      <c r="T16" s="43">
        <f t="shared" si="5"/>
        <v>595.20929999999998</v>
      </c>
      <c r="U16" s="43">
        <f t="shared" si="6"/>
        <v>4087.7907</v>
      </c>
      <c r="V16" s="44"/>
      <c r="X16" s="45"/>
    </row>
    <row r="17" spans="1:24" ht="22.5" customHeight="1">
      <c r="A17" s="57">
        <v>7</v>
      </c>
      <c r="B17" s="41" t="s">
        <v>79</v>
      </c>
      <c r="C17" s="41" t="s">
        <v>80</v>
      </c>
      <c r="D17" s="42"/>
      <c r="E17" s="14"/>
      <c r="F17" s="41" t="s">
        <v>148</v>
      </c>
      <c r="G17" s="59">
        <v>45689</v>
      </c>
      <c r="H17" s="40">
        <v>5</v>
      </c>
      <c r="J17" s="15">
        <v>30</v>
      </c>
      <c r="K17" s="38">
        <v>4608.45</v>
      </c>
      <c r="L17" s="62"/>
      <c r="M17" s="43">
        <v>0</v>
      </c>
      <c r="N17" s="62">
        <f t="shared" si="0"/>
        <v>4608.45</v>
      </c>
      <c r="O17" s="62">
        <f t="shared" si="1"/>
        <v>460.84500000000003</v>
      </c>
      <c r="P17" s="62">
        <f t="shared" si="2"/>
        <v>78.804495000000003</v>
      </c>
      <c r="Q17" s="62">
        <f t="shared" si="3"/>
        <v>23.042249999999999</v>
      </c>
      <c r="R17" s="62">
        <f t="shared" si="4"/>
        <v>23.042249999999999</v>
      </c>
      <c r="S17" s="43">
        <v>0</v>
      </c>
      <c r="T17" s="43">
        <f t="shared" si="5"/>
        <v>585.73399499999994</v>
      </c>
      <c r="U17" s="43">
        <f t="shared" si="6"/>
        <v>4022.7160049999998</v>
      </c>
      <c r="V17" s="44"/>
      <c r="X17" s="45"/>
    </row>
    <row r="18" spans="1:24" ht="22.5" customHeight="1">
      <c r="A18" s="57">
        <v>8</v>
      </c>
      <c r="B18" s="110" t="s">
        <v>19</v>
      </c>
      <c r="C18" s="110" t="s">
        <v>20</v>
      </c>
      <c r="D18" s="42"/>
      <c r="E18" s="14"/>
      <c r="F18" s="41" t="s">
        <v>178</v>
      </c>
      <c r="G18" s="59">
        <v>45689</v>
      </c>
      <c r="H18" s="40">
        <v>5</v>
      </c>
      <c r="J18" s="15">
        <v>30</v>
      </c>
      <c r="K18" s="38">
        <v>3173.86</v>
      </c>
      <c r="L18" s="62"/>
      <c r="M18" s="43">
        <v>0</v>
      </c>
      <c r="N18" s="62">
        <f t="shared" si="0"/>
        <v>3173.86</v>
      </c>
      <c r="O18" s="62">
        <f t="shared" si="1"/>
        <v>317.38600000000002</v>
      </c>
      <c r="P18" s="62">
        <f t="shared" si="2"/>
        <v>54.273006000000002</v>
      </c>
      <c r="Q18" s="62">
        <f t="shared" si="3"/>
        <v>15.869300000000001</v>
      </c>
      <c r="R18" s="62">
        <f t="shared" si="4"/>
        <v>15.869300000000001</v>
      </c>
      <c r="S18" s="43">
        <v>0</v>
      </c>
      <c r="T18" s="43">
        <f t="shared" si="5"/>
        <v>403.39760600000005</v>
      </c>
      <c r="U18" s="43">
        <f t="shared" si="6"/>
        <v>2770.4623940000001</v>
      </c>
      <c r="V18" s="44"/>
      <c r="X18" s="45"/>
    </row>
    <row r="19" spans="1:24" ht="22.5" customHeight="1">
      <c r="A19" s="57">
        <v>9</v>
      </c>
      <c r="B19" s="110" t="s">
        <v>101</v>
      </c>
      <c r="C19" s="110" t="s">
        <v>102</v>
      </c>
      <c r="D19" s="119"/>
      <c r="E19" s="120" t="s">
        <v>180</v>
      </c>
      <c r="F19" s="121" t="s">
        <v>103</v>
      </c>
      <c r="G19" s="59">
        <v>45689</v>
      </c>
      <c r="H19" s="40">
        <v>5</v>
      </c>
      <c r="J19" s="15">
        <v>30</v>
      </c>
      <c r="K19" s="38">
        <v>3317</v>
      </c>
      <c r="L19" s="62"/>
      <c r="M19" s="43">
        <v>0</v>
      </c>
      <c r="N19" s="62">
        <f t="shared" si="0"/>
        <v>3317</v>
      </c>
      <c r="O19" s="62">
        <f t="shared" si="1"/>
        <v>331.70000000000005</v>
      </c>
      <c r="P19" s="62">
        <f t="shared" si="2"/>
        <v>56.720700000000001</v>
      </c>
      <c r="Q19" s="62">
        <f t="shared" si="3"/>
        <v>16.585000000000001</v>
      </c>
      <c r="R19" s="62">
        <f t="shared" si="4"/>
        <v>16.585000000000001</v>
      </c>
      <c r="S19" s="43">
        <v>0</v>
      </c>
      <c r="T19" s="43">
        <f t="shared" si="5"/>
        <v>421.59070000000003</v>
      </c>
      <c r="U19" s="43">
        <f t="shared" si="6"/>
        <v>2895.4092999999998</v>
      </c>
      <c r="V19" s="44"/>
      <c r="X19" s="45"/>
    </row>
    <row r="20" spans="1:24" ht="22.5" customHeight="1">
      <c r="A20" s="57">
        <v>10</v>
      </c>
      <c r="B20" s="41" t="s">
        <v>105</v>
      </c>
      <c r="C20" s="41" t="s">
        <v>104</v>
      </c>
      <c r="D20" s="42"/>
      <c r="E20" s="14"/>
      <c r="F20" s="41" t="s">
        <v>32</v>
      </c>
      <c r="G20" s="59">
        <v>45689</v>
      </c>
      <c r="H20" s="40">
        <v>5</v>
      </c>
      <c r="J20" s="15">
        <v>30</v>
      </c>
      <c r="K20" s="38">
        <v>2750.11</v>
      </c>
      <c r="L20" s="62"/>
      <c r="M20" s="43">
        <v>0</v>
      </c>
      <c r="N20" s="62">
        <f t="shared" si="0"/>
        <v>2750.11</v>
      </c>
      <c r="O20" s="62">
        <f t="shared" si="1"/>
        <v>275.01100000000002</v>
      </c>
      <c r="P20" s="62">
        <f t="shared" si="2"/>
        <v>47.026881000000003</v>
      </c>
      <c r="Q20" s="62">
        <f t="shared" si="3"/>
        <v>13.75055</v>
      </c>
      <c r="R20" s="62">
        <f t="shared" si="4"/>
        <v>13.75055</v>
      </c>
      <c r="S20" s="43">
        <v>0</v>
      </c>
      <c r="T20" s="43">
        <f t="shared" si="5"/>
        <v>349.53898099999998</v>
      </c>
      <c r="U20" s="43">
        <f t="shared" si="6"/>
        <v>2400.571019</v>
      </c>
      <c r="V20" s="44"/>
      <c r="X20" s="45"/>
    </row>
    <row r="21" spans="1:24" ht="26.25" customHeight="1">
      <c r="A21" s="57">
        <v>11</v>
      </c>
      <c r="B21" s="110" t="s">
        <v>69</v>
      </c>
      <c r="C21" s="111" t="s">
        <v>70</v>
      </c>
      <c r="D21" s="127"/>
      <c r="E21" s="128" t="s">
        <v>199</v>
      </c>
      <c r="F21" s="208" t="s">
        <v>256</v>
      </c>
      <c r="G21" s="59">
        <v>45689</v>
      </c>
      <c r="H21" s="40">
        <v>5</v>
      </c>
      <c r="J21" s="15">
        <v>30</v>
      </c>
      <c r="K21" s="38">
        <v>2784.86</v>
      </c>
      <c r="L21" s="62"/>
      <c r="M21" s="43">
        <v>0</v>
      </c>
      <c r="N21" s="62">
        <f t="shared" si="0"/>
        <v>2784.86</v>
      </c>
      <c r="O21" s="62">
        <f t="shared" si="1"/>
        <v>278.48600000000005</v>
      </c>
      <c r="P21" s="62">
        <f t="shared" si="2"/>
        <v>47.621106000000005</v>
      </c>
      <c r="Q21" s="62">
        <f t="shared" si="3"/>
        <v>13.924300000000001</v>
      </c>
      <c r="R21" s="62">
        <f t="shared" si="4"/>
        <v>13.924300000000001</v>
      </c>
      <c r="S21" s="43">
        <v>0</v>
      </c>
      <c r="T21" s="43">
        <f t="shared" si="5"/>
        <v>353.95570600000008</v>
      </c>
      <c r="U21" s="43">
        <f t="shared" si="6"/>
        <v>2430.9042939999999</v>
      </c>
      <c r="V21" s="44"/>
      <c r="X21" s="45"/>
    </row>
    <row r="22" spans="1:24" ht="22.5" customHeight="1">
      <c r="A22" s="57">
        <v>12</v>
      </c>
      <c r="B22" s="21" t="s">
        <v>85</v>
      </c>
      <c r="C22" s="21" t="s">
        <v>86</v>
      </c>
      <c r="D22" s="20"/>
      <c r="E22" s="22" t="s">
        <v>40</v>
      </c>
      <c r="F22" s="30" t="s">
        <v>40</v>
      </c>
      <c r="G22" s="59">
        <v>45689</v>
      </c>
      <c r="H22" s="14">
        <v>5</v>
      </c>
      <c r="I22" s="43">
        <v>2122</v>
      </c>
      <c r="J22" s="14">
        <v>30</v>
      </c>
      <c r="K22" s="62">
        <v>2750</v>
      </c>
      <c r="L22" s="62"/>
      <c r="M22" s="43">
        <v>0</v>
      </c>
      <c r="N22" s="62">
        <f t="shared" si="0"/>
        <v>2750</v>
      </c>
      <c r="O22" s="62">
        <f t="shared" si="1"/>
        <v>275</v>
      </c>
      <c r="P22" s="62">
        <f t="shared" si="2"/>
        <v>47.024999999999999</v>
      </c>
      <c r="Q22" s="62">
        <f t="shared" si="3"/>
        <v>13.75</v>
      </c>
      <c r="R22" s="62">
        <f t="shared" si="4"/>
        <v>13.75</v>
      </c>
      <c r="S22" s="43">
        <v>0</v>
      </c>
      <c r="T22" s="43">
        <f t="shared" si="5"/>
        <v>349.52499999999998</v>
      </c>
      <c r="U22" s="43">
        <f t="shared" si="6"/>
        <v>2400.4749999999999</v>
      </c>
      <c r="V22" s="44"/>
      <c r="X22" s="45"/>
    </row>
    <row r="23" spans="1:24" ht="22.5" customHeight="1">
      <c r="A23" s="57">
        <v>13</v>
      </c>
      <c r="B23" s="21" t="s">
        <v>257</v>
      </c>
      <c r="C23" s="21" t="s">
        <v>258</v>
      </c>
      <c r="D23" s="20"/>
      <c r="E23" s="22"/>
      <c r="F23" s="30" t="s">
        <v>73</v>
      </c>
      <c r="G23" s="59">
        <v>45689</v>
      </c>
      <c r="H23" s="14">
        <v>5</v>
      </c>
      <c r="I23" s="209"/>
      <c r="J23" s="14">
        <v>30</v>
      </c>
      <c r="K23" s="62">
        <v>2750.02</v>
      </c>
      <c r="L23" s="62"/>
      <c r="M23" s="43">
        <v>0</v>
      </c>
      <c r="N23" s="62">
        <f t="shared" si="0"/>
        <v>2750.02</v>
      </c>
      <c r="O23" s="62">
        <f t="shared" si="1"/>
        <v>275.00200000000001</v>
      </c>
      <c r="P23" s="62">
        <f t="shared" si="2"/>
        <v>47.025342000000002</v>
      </c>
      <c r="Q23" s="62">
        <f t="shared" si="3"/>
        <v>13.7501</v>
      </c>
      <c r="R23" s="62">
        <f t="shared" si="4"/>
        <v>13.7501</v>
      </c>
      <c r="S23" s="43">
        <v>0</v>
      </c>
      <c r="T23" s="43">
        <f t="shared" si="5"/>
        <v>349.52754199999998</v>
      </c>
      <c r="U23" s="43">
        <f t="shared" si="6"/>
        <v>2400.4924580000002</v>
      </c>
      <c r="V23" s="44"/>
      <c r="X23" s="45"/>
    </row>
    <row r="24" spans="1:24" ht="22.5" customHeight="1">
      <c r="A24" s="57">
        <v>14</v>
      </c>
      <c r="B24" s="41" t="s">
        <v>45</v>
      </c>
      <c r="C24" s="41" t="s">
        <v>46</v>
      </c>
      <c r="D24" s="42"/>
      <c r="E24" s="14"/>
      <c r="F24" s="41" t="s">
        <v>47</v>
      </c>
      <c r="G24" s="30">
        <v>45689</v>
      </c>
      <c r="H24" s="63">
        <v>6</v>
      </c>
      <c r="I24" s="64"/>
      <c r="J24" s="14">
        <v>30</v>
      </c>
      <c r="K24" s="62">
        <v>3491.25</v>
      </c>
      <c r="L24" s="62"/>
      <c r="M24" s="43">
        <v>0</v>
      </c>
      <c r="N24" s="62">
        <f t="shared" si="0"/>
        <v>3491.25</v>
      </c>
      <c r="O24" s="62">
        <f t="shared" si="1"/>
        <v>349.125</v>
      </c>
      <c r="P24" s="62">
        <f t="shared" si="2"/>
        <v>59.700375000000001</v>
      </c>
      <c r="Q24" s="62">
        <f t="shared" si="3"/>
        <v>17.456250000000001</v>
      </c>
      <c r="R24" s="62">
        <f t="shared" si="4"/>
        <v>17.456250000000001</v>
      </c>
      <c r="S24" s="43">
        <v>0</v>
      </c>
      <c r="T24" s="43">
        <f t="shared" si="5"/>
        <v>443.73787500000003</v>
      </c>
      <c r="U24" s="43">
        <f>+N24-T24</f>
        <v>3047.5121250000002</v>
      </c>
      <c r="V24" s="44"/>
      <c r="X24" s="108"/>
    </row>
    <row r="25" spans="1:24" ht="22.5" customHeight="1">
      <c r="A25" s="57">
        <v>15</v>
      </c>
      <c r="B25" s="41" t="s">
        <v>31</v>
      </c>
      <c r="C25" s="41" t="s">
        <v>62</v>
      </c>
      <c r="D25" s="42"/>
      <c r="E25" s="14"/>
      <c r="F25" s="41" t="s">
        <v>32</v>
      </c>
      <c r="G25" s="59">
        <v>45689</v>
      </c>
      <c r="H25" s="40">
        <v>5</v>
      </c>
      <c r="J25" s="15">
        <v>30</v>
      </c>
      <c r="K25" s="38">
        <v>2861.09</v>
      </c>
      <c r="L25" s="62"/>
      <c r="M25" s="43">
        <v>0</v>
      </c>
      <c r="N25" s="62">
        <f t="shared" si="0"/>
        <v>2861.09</v>
      </c>
      <c r="O25" s="62">
        <f t="shared" si="1"/>
        <v>286.10900000000004</v>
      </c>
      <c r="P25" s="62">
        <f t="shared" si="2"/>
        <v>48.924639000000006</v>
      </c>
      <c r="Q25" s="62">
        <f t="shared" si="3"/>
        <v>14.30545</v>
      </c>
      <c r="R25" s="62">
        <f t="shared" si="4"/>
        <v>14.30545</v>
      </c>
      <c r="S25" s="43">
        <v>0</v>
      </c>
      <c r="T25" s="43">
        <f t="shared" si="5"/>
        <v>363.64453900000007</v>
      </c>
      <c r="U25" s="43">
        <f t="shared" si="6"/>
        <v>2497.4454610000003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45689</v>
      </c>
      <c r="H26" s="63">
        <v>5</v>
      </c>
      <c r="I26" s="64"/>
      <c r="J26" s="14">
        <v>30</v>
      </c>
      <c r="K26" s="62">
        <v>2750</v>
      </c>
      <c r="L26" s="62"/>
      <c r="M26" s="43">
        <v>0</v>
      </c>
      <c r="N26" s="62">
        <f t="shared" si="0"/>
        <v>2750</v>
      </c>
      <c r="O26" s="62">
        <f t="shared" si="1"/>
        <v>275</v>
      </c>
      <c r="P26" s="62">
        <f t="shared" si="2"/>
        <v>47.024999999999999</v>
      </c>
      <c r="Q26" s="62">
        <f t="shared" si="3"/>
        <v>13.75</v>
      </c>
      <c r="R26" s="62">
        <f t="shared" si="4"/>
        <v>13.75</v>
      </c>
      <c r="S26" s="43">
        <v>0</v>
      </c>
      <c r="T26" s="43">
        <f t="shared" si="5"/>
        <v>349.52499999999998</v>
      </c>
      <c r="U26" s="43">
        <f t="shared" si="6"/>
        <v>2400.4749999999999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45689</v>
      </c>
      <c r="H27" s="40">
        <v>5</v>
      </c>
      <c r="J27" s="15">
        <v>30</v>
      </c>
      <c r="K27" s="38">
        <v>2750</v>
      </c>
      <c r="L27" s="62"/>
      <c r="M27" s="43">
        <v>0</v>
      </c>
      <c r="N27" s="62">
        <f t="shared" si="0"/>
        <v>2750</v>
      </c>
      <c r="O27" s="62">
        <f t="shared" si="1"/>
        <v>275</v>
      </c>
      <c r="P27" s="62">
        <f t="shared" si="2"/>
        <v>47.024999999999999</v>
      </c>
      <c r="Q27" s="62">
        <f t="shared" si="3"/>
        <v>13.75</v>
      </c>
      <c r="R27" s="62">
        <f t="shared" si="4"/>
        <v>13.75</v>
      </c>
      <c r="S27" s="43">
        <v>0</v>
      </c>
      <c r="T27" s="43">
        <f t="shared" si="5"/>
        <v>349.52499999999998</v>
      </c>
      <c r="U27" s="43">
        <f t="shared" si="6"/>
        <v>2400.4749999999999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45689</v>
      </c>
      <c r="H28" s="40">
        <v>5</v>
      </c>
      <c r="J28" s="15">
        <v>30</v>
      </c>
      <c r="K28" s="38">
        <v>2750</v>
      </c>
      <c r="L28" s="62"/>
      <c r="M28" s="43">
        <v>0</v>
      </c>
      <c r="N28" s="62">
        <f t="shared" si="0"/>
        <v>2750</v>
      </c>
      <c r="O28" s="62">
        <f t="shared" si="1"/>
        <v>275</v>
      </c>
      <c r="P28" s="62">
        <f t="shared" si="2"/>
        <v>47.024999999999999</v>
      </c>
      <c r="Q28" s="62">
        <f t="shared" si="3"/>
        <v>13.75</v>
      </c>
      <c r="R28" s="62">
        <f t="shared" si="4"/>
        <v>13.75</v>
      </c>
      <c r="S28" s="43">
        <v>0</v>
      </c>
      <c r="T28" s="43">
        <f t="shared" si="5"/>
        <v>349.52499999999998</v>
      </c>
      <c r="U28" s="43">
        <f t="shared" si="6"/>
        <v>2400.4749999999999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45689</v>
      </c>
      <c r="H29" s="40">
        <v>5</v>
      </c>
      <c r="J29" s="15">
        <v>30</v>
      </c>
      <c r="K29" s="38">
        <v>2750.11</v>
      </c>
      <c r="L29" s="62"/>
      <c r="M29" s="43">
        <v>0</v>
      </c>
      <c r="N29" s="62">
        <f t="shared" si="0"/>
        <v>2750.11</v>
      </c>
      <c r="O29" s="62">
        <f t="shared" si="1"/>
        <v>275.01100000000002</v>
      </c>
      <c r="P29" s="62">
        <f t="shared" si="2"/>
        <v>47.026881000000003</v>
      </c>
      <c r="Q29" s="62">
        <f t="shared" si="3"/>
        <v>13.75055</v>
      </c>
      <c r="R29" s="62">
        <f t="shared" si="4"/>
        <v>13.75055</v>
      </c>
      <c r="S29" s="43">
        <v>0</v>
      </c>
      <c r="T29" s="43">
        <f t="shared" si="5"/>
        <v>349.53898099999998</v>
      </c>
      <c r="U29" s="43">
        <f t="shared" si="6"/>
        <v>2400.571019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59">
        <v>45689</v>
      </c>
      <c r="H30" s="40">
        <v>4</v>
      </c>
      <c r="I30" s="76"/>
      <c r="J30" s="75">
        <v>30</v>
      </c>
      <c r="K30" s="68">
        <v>2750</v>
      </c>
      <c r="L30" s="69"/>
      <c r="M30" s="43">
        <v>0</v>
      </c>
      <c r="N30" s="62">
        <f t="shared" si="0"/>
        <v>2750</v>
      </c>
      <c r="O30" s="62">
        <f t="shared" si="1"/>
        <v>275</v>
      </c>
      <c r="P30" s="62">
        <f t="shared" si="2"/>
        <v>47.024999999999999</v>
      </c>
      <c r="Q30" s="62">
        <f t="shared" si="3"/>
        <v>13.75</v>
      </c>
      <c r="R30" s="62">
        <f t="shared" si="4"/>
        <v>13.75</v>
      </c>
      <c r="S30" s="43">
        <v>0</v>
      </c>
      <c r="T30" s="43">
        <f t="shared" si="5"/>
        <v>349.52499999999998</v>
      </c>
      <c r="U30" s="43">
        <f t="shared" si="6"/>
        <v>2400.4749999999999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59">
        <v>45689</v>
      </c>
      <c r="H31" s="40">
        <v>5</v>
      </c>
      <c r="I31" s="76"/>
      <c r="J31" s="75">
        <v>30</v>
      </c>
      <c r="K31" s="68">
        <v>2750</v>
      </c>
      <c r="L31" s="69"/>
      <c r="M31" s="43">
        <v>0</v>
      </c>
      <c r="N31" s="62">
        <f t="shared" si="0"/>
        <v>2750</v>
      </c>
      <c r="O31" s="62">
        <f t="shared" si="1"/>
        <v>275</v>
      </c>
      <c r="P31" s="62">
        <f t="shared" si="2"/>
        <v>47.024999999999999</v>
      </c>
      <c r="Q31" s="62">
        <f t="shared" si="3"/>
        <v>13.75</v>
      </c>
      <c r="R31" s="62">
        <f t="shared" si="4"/>
        <v>13.75</v>
      </c>
      <c r="S31" s="43">
        <v>0</v>
      </c>
      <c r="T31" s="43">
        <f t="shared" si="5"/>
        <v>349.52499999999998</v>
      </c>
      <c r="U31" s="43">
        <f t="shared" si="6"/>
        <v>2400.4749999999999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64220.069999999992</v>
      </c>
      <c r="L32" s="32"/>
      <c r="M32" s="32">
        <f>SUM(M16:M29)</f>
        <v>0</v>
      </c>
      <c r="N32" s="32">
        <f>SUM(N11:N31)</f>
        <v>64220.069999999992</v>
      </c>
      <c r="O32" s="32">
        <f>SUM(O11:O31)</f>
        <v>6422.0070000000005</v>
      </c>
      <c r="P32" s="32">
        <f>SUM(P11:P31)</f>
        <v>1098.1631970000001</v>
      </c>
      <c r="Q32" s="32">
        <f>SUM(Q11:Q31)</f>
        <v>321.10035000000005</v>
      </c>
      <c r="R32" s="32">
        <f>SUM(R11:R31)</f>
        <v>321.10035000000005</v>
      </c>
      <c r="S32" s="32">
        <f>SUM(S16:S31)</f>
        <v>0</v>
      </c>
      <c r="T32" s="32">
        <f>SUM(T11:T31)</f>
        <v>8162.3708969999971</v>
      </c>
      <c r="U32" s="32">
        <f>SUM(U11:U31)</f>
        <v>56057.699102999999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8162.3708969999971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263</v>
      </c>
      <c r="L36"/>
      <c r="M36"/>
      <c r="N36"/>
      <c r="O36"/>
      <c r="P36"/>
      <c r="Q36"/>
      <c r="R36"/>
      <c r="S36"/>
      <c r="T36"/>
      <c r="U36"/>
      <c r="V36"/>
    </row>
    <row r="41" spans="1:26">
      <c r="C41" s="46">
        <f>N32</f>
        <v>64220.069999999992</v>
      </c>
    </row>
    <row r="42" spans="1:26">
      <c r="C42" s="46">
        <v>13235.49</v>
      </c>
    </row>
    <row r="43" spans="1:26">
      <c r="C43" s="46">
        <f>SUM(C41:C42)</f>
        <v>77455.56</v>
      </c>
    </row>
    <row r="46" spans="1:26">
      <c r="C46" s="219">
        <f>N32*10%</f>
        <v>6422.0069999999996</v>
      </c>
      <c r="F46" t="s">
        <v>264</v>
      </c>
    </row>
    <row r="49" spans="3:6">
      <c r="C49" s="202">
        <f>C43*13.92%</f>
        <v>10781.813951999999</v>
      </c>
      <c r="F49" s="203" t="s">
        <v>265</v>
      </c>
    </row>
    <row r="50" spans="3:6">
      <c r="C50" s="202">
        <f>C43*2%</f>
        <v>1549.1112000000001</v>
      </c>
      <c r="F50" s="204">
        <v>0.02</v>
      </c>
    </row>
    <row r="51" spans="3:6">
      <c r="C51" s="202">
        <f>C43*3.5%</f>
        <v>2710.9446000000003</v>
      </c>
      <c r="F51" s="203">
        <v>3.5000000000000003E-2</v>
      </c>
    </row>
    <row r="52" spans="3:6">
      <c r="C52" s="202">
        <f>C43*0.5%</f>
        <v>387.27780000000001</v>
      </c>
      <c r="F52" s="203">
        <v>5.0000000000000001E-3</v>
      </c>
    </row>
    <row r="53" spans="3:6">
      <c r="C53" s="220">
        <f>SUM(C49:C52)</f>
        <v>15429.147551999999</v>
      </c>
    </row>
    <row r="56" spans="3:6" ht="15.75" thickBot="1">
      <c r="C56" s="221">
        <f>C46+C53</f>
        <v>21851.154552</v>
      </c>
      <c r="F56" t="s">
        <v>266</v>
      </c>
    </row>
    <row r="57" spans="3:6" ht="15.75" thickTop="1"/>
  </sheetData>
  <mergeCells count="17"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Z57"/>
  <sheetViews>
    <sheetView topLeftCell="A14" workbookViewId="0">
      <selection activeCell="K37" sqref="K37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267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16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218" t="s">
        <v>15</v>
      </c>
      <c r="K9" s="235"/>
      <c r="L9" s="217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17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45689</v>
      </c>
      <c r="H11" s="14">
        <v>5</v>
      </c>
      <c r="I11" s="45"/>
      <c r="J11" s="58">
        <v>30</v>
      </c>
      <c r="K11" s="62">
        <v>2750.1</v>
      </c>
      <c r="L11" s="60"/>
      <c r="M11" s="43">
        <v>0</v>
      </c>
      <c r="N11" s="62">
        <f t="shared" ref="N11:N31" si="0">K11+M11</f>
        <v>2750.1</v>
      </c>
      <c r="O11" s="62">
        <f t="shared" ref="O11:O31" si="1">+N11*0.1</f>
        <v>275.01</v>
      </c>
      <c r="P11" s="62">
        <f t="shared" ref="P11:P31" si="2">+N11*0.0171</f>
        <v>47.026710000000001</v>
      </c>
      <c r="Q11" s="62">
        <f t="shared" ref="Q11:Q31" si="3">+N11*0.005</f>
        <v>13.750500000000001</v>
      </c>
      <c r="R11" s="62">
        <f t="shared" ref="R11:R31" si="4">N11*0.5%</f>
        <v>13.750500000000001</v>
      </c>
      <c r="S11" s="43">
        <v>0</v>
      </c>
      <c r="T11" s="43">
        <f t="shared" ref="T11:T31" si="5">+O11+P11+Q11+R11+S11</f>
        <v>349.53770999999995</v>
      </c>
      <c r="U11" s="43">
        <f t="shared" ref="U11:U31" si="6">+N11-T11</f>
        <v>2400.5622899999998</v>
      </c>
      <c r="V11" s="55"/>
    </row>
    <row r="12" spans="1:24" ht="22.5" customHeight="1">
      <c r="A12" s="57">
        <v>2</v>
      </c>
      <c r="B12" s="56" t="s">
        <v>250</v>
      </c>
      <c r="C12" s="66" t="s">
        <v>251</v>
      </c>
      <c r="D12" s="55"/>
      <c r="E12" s="55"/>
      <c r="F12" s="123" t="s">
        <v>252</v>
      </c>
      <c r="G12" s="59">
        <v>45689</v>
      </c>
      <c r="H12" s="14">
        <v>5</v>
      </c>
      <c r="I12" s="45"/>
      <c r="J12" s="58">
        <v>30</v>
      </c>
      <c r="K12" s="62">
        <v>3150</v>
      </c>
      <c r="L12" s="60"/>
      <c r="M12" s="43">
        <v>0</v>
      </c>
      <c r="N12" s="62">
        <f t="shared" si="0"/>
        <v>3150</v>
      </c>
      <c r="O12" s="62">
        <f t="shared" si="1"/>
        <v>315</v>
      </c>
      <c r="P12" s="62">
        <f t="shared" si="2"/>
        <v>53.865000000000002</v>
      </c>
      <c r="Q12" s="62">
        <f t="shared" si="3"/>
        <v>15.75</v>
      </c>
      <c r="R12" s="62">
        <f t="shared" si="4"/>
        <v>15.75</v>
      </c>
      <c r="S12" s="43">
        <v>0</v>
      </c>
      <c r="T12" s="43">
        <f t="shared" si="5"/>
        <v>400.36500000000001</v>
      </c>
      <c r="U12" s="43">
        <f t="shared" si="6"/>
        <v>2749.6350000000002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253</v>
      </c>
      <c r="G13" s="59">
        <v>45689</v>
      </c>
      <c r="H13" s="14">
        <v>5</v>
      </c>
      <c r="I13" s="45"/>
      <c r="J13" s="58">
        <v>30</v>
      </c>
      <c r="K13" s="62">
        <v>3150</v>
      </c>
      <c r="L13" s="60"/>
      <c r="M13" s="43">
        <v>0</v>
      </c>
      <c r="N13" s="62">
        <f t="shared" si="0"/>
        <v>3150</v>
      </c>
      <c r="O13" s="62">
        <f t="shared" si="1"/>
        <v>315</v>
      </c>
      <c r="P13" s="62">
        <f t="shared" si="2"/>
        <v>53.865000000000002</v>
      </c>
      <c r="Q13" s="62">
        <f t="shared" si="3"/>
        <v>15.75</v>
      </c>
      <c r="R13" s="62">
        <f t="shared" si="4"/>
        <v>15.75</v>
      </c>
      <c r="S13" s="43">
        <v>0</v>
      </c>
      <c r="T13" s="43">
        <f t="shared" si="5"/>
        <v>400.36500000000001</v>
      </c>
      <c r="U13" s="43">
        <f t="shared" si="6"/>
        <v>2749.6350000000002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2750.11</v>
      </c>
      <c r="L14" s="60"/>
      <c r="M14" s="43">
        <v>0</v>
      </c>
      <c r="N14" s="62">
        <f t="shared" si="0"/>
        <v>2750.11</v>
      </c>
      <c r="O14" s="62">
        <f t="shared" si="1"/>
        <v>275.01100000000002</v>
      </c>
      <c r="P14" s="62">
        <f t="shared" si="2"/>
        <v>47.026881000000003</v>
      </c>
      <c r="Q14" s="62">
        <f t="shared" si="3"/>
        <v>13.75055</v>
      </c>
      <c r="R14" s="62">
        <f t="shared" si="4"/>
        <v>13.75055</v>
      </c>
      <c r="S14" s="43">
        <v>0</v>
      </c>
      <c r="T14" s="43">
        <f t="shared" si="5"/>
        <v>349.53898099999998</v>
      </c>
      <c r="U14" s="43">
        <f t="shared" si="6"/>
        <v>2400.571019</v>
      </c>
      <c r="V14" s="55"/>
    </row>
    <row r="15" spans="1:24" ht="22.5" customHeight="1">
      <c r="A15" s="57">
        <v>5</v>
      </c>
      <c r="B15" s="41" t="s">
        <v>254</v>
      </c>
      <c r="C15" s="41" t="s">
        <v>255</v>
      </c>
      <c r="D15" s="42"/>
      <c r="E15" s="14"/>
      <c r="F15" s="41" t="s">
        <v>32</v>
      </c>
      <c r="G15" s="59">
        <v>45689</v>
      </c>
      <c r="H15" s="63">
        <v>5</v>
      </c>
      <c r="I15" s="64"/>
      <c r="J15" s="14">
        <v>30</v>
      </c>
      <c r="K15" s="62">
        <v>2750.11</v>
      </c>
      <c r="L15" s="60"/>
      <c r="M15" s="43">
        <v>0</v>
      </c>
      <c r="N15" s="62">
        <f t="shared" si="0"/>
        <v>2750.11</v>
      </c>
      <c r="O15" s="62">
        <f t="shared" si="1"/>
        <v>275.01100000000002</v>
      </c>
      <c r="P15" s="62">
        <f t="shared" si="2"/>
        <v>47.026881000000003</v>
      </c>
      <c r="Q15" s="62">
        <f t="shared" si="3"/>
        <v>13.75055</v>
      </c>
      <c r="R15" s="62">
        <f t="shared" si="4"/>
        <v>13.75055</v>
      </c>
      <c r="S15" s="43">
        <v>0</v>
      </c>
      <c r="T15" s="43">
        <f t="shared" si="5"/>
        <v>349.53898099999998</v>
      </c>
      <c r="U15" s="43">
        <f t="shared" si="6"/>
        <v>2400.571019</v>
      </c>
      <c r="V15" s="55"/>
    </row>
    <row r="16" spans="1:24" ht="22.5" customHeight="1">
      <c r="A16" s="57">
        <v>6</v>
      </c>
      <c r="B16" s="41" t="s">
        <v>44</v>
      </c>
      <c r="C16" s="41" t="s">
        <v>61</v>
      </c>
      <c r="D16" s="42"/>
      <c r="E16" s="14"/>
      <c r="F16" s="41" t="s">
        <v>49</v>
      </c>
      <c r="G16" s="59">
        <v>45689</v>
      </c>
      <c r="H16" s="63">
        <v>5</v>
      </c>
      <c r="I16" s="64"/>
      <c r="J16" s="14">
        <v>30</v>
      </c>
      <c r="K16" s="62">
        <v>4683</v>
      </c>
      <c r="L16" s="62"/>
      <c r="M16" s="43">
        <v>0</v>
      </c>
      <c r="N16" s="62">
        <f t="shared" si="0"/>
        <v>4683</v>
      </c>
      <c r="O16" s="62">
        <f t="shared" si="1"/>
        <v>468.3</v>
      </c>
      <c r="P16" s="62">
        <f t="shared" si="2"/>
        <v>80.079300000000003</v>
      </c>
      <c r="Q16" s="62">
        <f t="shared" si="3"/>
        <v>23.414999999999999</v>
      </c>
      <c r="R16" s="62">
        <f t="shared" si="4"/>
        <v>23.414999999999999</v>
      </c>
      <c r="S16" s="43">
        <v>0</v>
      </c>
      <c r="T16" s="43">
        <f t="shared" si="5"/>
        <v>595.20929999999998</v>
      </c>
      <c r="U16" s="43">
        <f t="shared" si="6"/>
        <v>4087.7907</v>
      </c>
      <c r="V16" s="44"/>
      <c r="X16" s="45"/>
    </row>
    <row r="17" spans="1:24" ht="22.5" customHeight="1">
      <c r="A17" s="57">
        <v>7</v>
      </c>
      <c r="B17" s="41" t="s">
        <v>79</v>
      </c>
      <c r="C17" s="41" t="s">
        <v>80</v>
      </c>
      <c r="D17" s="42"/>
      <c r="E17" s="14"/>
      <c r="F17" s="41" t="s">
        <v>148</v>
      </c>
      <c r="G17" s="59">
        <v>45689</v>
      </c>
      <c r="H17" s="40">
        <v>5</v>
      </c>
      <c r="J17" s="15">
        <v>30</v>
      </c>
      <c r="K17" s="38">
        <v>4608.45</v>
      </c>
      <c r="L17" s="62"/>
      <c r="M17" s="43">
        <v>0</v>
      </c>
      <c r="N17" s="62">
        <f t="shared" si="0"/>
        <v>4608.45</v>
      </c>
      <c r="O17" s="62">
        <f t="shared" si="1"/>
        <v>460.84500000000003</v>
      </c>
      <c r="P17" s="62">
        <f t="shared" si="2"/>
        <v>78.804495000000003</v>
      </c>
      <c r="Q17" s="62">
        <f t="shared" si="3"/>
        <v>23.042249999999999</v>
      </c>
      <c r="R17" s="62">
        <f t="shared" si="4"/>
        <v>23.042249999999999</v>
      </c>
      <c r="S17" s="43">
        <v>0</v>
      </c>
      <c r="T17" s="43">
        <f t="shared" si="5"/>
        <v>585.73399499999994</v>
      </c>
      <c r="U17" s="43">
        <f t="shared" si="6"/>
        <v>4022.7160049999998</v>
      </c>
      <c r="V17" s="44"/>
      <c r="X17" s="45"/>
    </row>
    <row r="18" spans="1:24" ht="22.5" customHeight="1">
      <c r="A18" s="57">
        <v>8</v>
      </c>
      <c r="B18" s="110" t="s">
        <v>19</v>
      </c>
      <c r="C18" s="110" t="s">
        <v>20</v>
      </c>
      <c r="D18" s="42"/>
      <c r="E18" s="14"/>
      <c r="F18" s="41" t="s">
        <v>178</v>
      </c>
      <c r="G18" s="59">
        <v>45689</v>
      </c>
      <c r="H18" s="40">
        <v>5</v>
      </c>
      <c r="J18" s="15">
        <v>30</v>
      </c>
      <c r="K18" s="38">
        <v>3173.86</v>
      </c>
      <c r="L18" s="62"/>
      <c r="M18" s="43">
        <v>0</v>
      </c>
      <c r="N18" s="62">
        <f t="shared" si="0"/>
        <v>3173.86</v>
      </c>
      <c r="O18" s="62">
        <f t="shared" si="1"/>
        <v>317.38600000000002</v>
      </c>
      <c r="P18" s="62">
        <f t="shared" si="2"/>
        <v>54.273006000000002</v>
      </c>
      <c r="Q18" s="62">
        <f t="shared" si="3"/>
        <v>15.869300000000001</v>
      </c>
      <c r="R18" s="62">
        <f t="shared" si="4"/>
        <v>15.869300000000001</v>
      </c>
      <c r="S18" s="43">
        <v>0</v>
      </c>
      <c r="T18" s="43">
        <f t="shared" si="5"/>
        <v>403.39760600000005</v>
      </c>
      <c r="U18" s="43">
        <f t="shared" si="6"/>
        <v>2770.4623940000001</v>
      </c>
      <c r="V18" s="44"/>
      <c r="X18" s="45"/>
    </row>
    <row r="19" spans="1:24" ht="22.5" customHeight="1">
      <c r="A19" s="57">
        <v>9</v>
      </c>
      <c r="B19" s="110" t="s">
        <v>101</v>
      </c>
      <c r="C19" s="110" t="s">
        <v>102</v>
      </c>
      <c r="D19" s="119"/>
      <c r="E19" s="120" t="s">
        <v>180</v>
      </c>
      <c r="F19" s="121" t="s">
        <v>103</v>
      </c>
      <c r="G19" s="59">
        <v>45689</v>
      </c>
      <c r="H19" s="40">
        <v>5</v>
      </c>
      <c r="J19" s="15">
        <v>30</v>
      </c>
      <c r="K19" s="38">
        <v>3317</v>
      </c>
      <c r="L19" s="62"/>
      <c r="M19" s="43">
        <v>0</v>
      </c>
      <c r="N19" s="62">
        <f t="shared" si="0"/>
        <v>3317</v>
      </c>
      <c r="O19" s="62">
        <f t="shared" si="1"/>
        <v>331.70000000000005</v>
      </c>
      <c r="P19" s="62">
        <f t="shared" si="2"/>
        <v>56.720700000000001</v>
      </c>
      <c r="Q19" s="62">
        <f t="shared" si="3"/>
        <v>16.585000000000001</v>
      </c>
      <c r="R19" s="62">
        <f t="shared" si="4"/>
        <v>16.585000000000001</v>
      </c>
      <c r="S19" s="43">
        <v>0</v>
      </c>
      <c r="T19" s="43">
        <f t="shared" si="5"/>
        <v>421.59070000000003</v>
      </c>
      <c r="U19" s="43">
        <f t="shared" si="6"/>
        <v>2895.4092999999998</v>
      </c>
      <c r="V19" s="44"/>
      <c r="X19" s="45"/>
    </row>
    <row r="20" spans="1:24" ht="22.5" customHeight="1">
      <c r="A20" s="57">
        <v>10</v>
      </c>
      <c r="B20" s="41" t="s">
        <v>105</v>
      </c>
      <c r="C20" s="41" t="s">
        <v>104</v>
      </c>
      <c r="D20" s="42"/>
      <c r="E20" s="14"/>
      <c r="F20" s="41" t="s">
        <v>32</v>
      </c>
      <c r="G20" s="59">
        <v>45689</v>
      </c>
      <c r="H20" s="40">
        <v>5</v>
      </c>
      <c r="J20" s="15">
        <v>30</v>
      </c>
      <c r="K20" s="38">
        <v>2750.11</v>
      </c>
      <c r="L20" s="62"/>
      <c r="M20" s="43">
        <v>0</v>
      </c>
      <c r="N20" s="62">
        <f t="shared" si="0"/>
        <v>2750.11</v>
      </c>
      <c r="O20" s="62">
        <f t="shared" si="1"/>
        <v>275.01100000000002</v>
      </c>
      <c r="P20" s="62">
        <f t="shared" si="2"/>
        <v>47.026881000000003</v>
      </c>
      <c r="Q20" s="62">
        <f t="shared" si="3"/>
        <v>13.75055</v>
      </c>
      <c r="R20" s="62">
        <f t="shared" si="4"/>
        <v>13.75055</v>
      </c>
      <c r="S20" s="43">
        <v>0</v>
      </c>
      <c r="T20" s="43">
        <f t="shared" si="5"/>
        <v>349.53898099999998</v>
      </c>
      <c r="U20" s="43">
        <f t="shared" si="6"/>
        <v>2400.571019</v>
      </c>
      <c r="V20" s="44"/>
      <c r="X20" s="45"/>
    </row>
    <row r="21" spans="1:24" ht="26.25" customHeight="1">
      <c r="A21" s="57">
        <v>11</v>
      </c>
      <c r="B21" s="110" t="s">
        <v>69</v>
      </c>
      <c r="C21" s="111" t="s">
        <v>70</v>
      </c>
      <c r="D21" s="127"/>
      <c r="E21" s="128" t="s">
        <v>199</v>
      </c>
      <c r="F21" s="208" t="s">
        <v>256</v>
      </c>
      <c r="G21" s="59">
        <v>45689</v>
      </c>
      <c r="H21" s="40">
        <v>5</v>
      </c>
      <c r="J21" s="15">
        <v>30</v>
      </c>
      <c r="K21" s="38">
        <v>2784.86</v>
      </c>
      <c r="L21" s="62"/>
      <c r="M21" s="43">
        <v>0</v>
      </c>
      <c r="N21" s="62">
        <f t="shared" si="0"/>
        <v>2784.86</v>
      </c>
      <c r="O21" s="62">
        <f t="shared" si="1"/>
        <v>278.48600000000005</v>
      </c>
      <c r="P21" s="62">
        <f t="shared" si="2"/>
        <v>47.621106000000005</v>
      </c>
      <c r="Q21" s="62">
        <f t="shared" si="3"/>
        <v>13.924300000000001</v>
      </c>
      <c r="R21" s="62">
        <f t="shared" si="4"/>
        <v>13.924300000000001</v>
      </c>
      <c r="S21" s="43">
        <v>0</v>
      </c>
      <c r="T21" s="43">
        <f t="shared" si="5"/>
        <v>353.95570600000008</v>
      </c>
      <c r="U21" s="43">
        <f t="shared" si="6"/>
        <v>2430.9042939999999</v>
      </c>
      <c r="V21" s="44"/>
      <c r="X21" s="45"/>
    </row>
    <row r="22" spans="1:24" ht="22.5" customHeight="1">
      <c r="A22" s="57">
        <v>12</v>
      </c>
      <c r="B22" s="21" t="s">
        <v>85</v>
      </c>
      <c r="C22" s="21" t="s">
        <v>86</v>
      </c>
      <c r="D22" s="20"/>
      <c r="E22" s="22" t="s">
        <v>40</v>
      </c>
      <c r="F22" s="30" t="s">
        <v>40</v>
      </c>
      <c r="G22" s="59">
        <v>45689</v>
      </c>
      <c r="H22" s="14">
        <v>5</v>
      </c>
      <c r="I22" s="43">
        <v>2122</v>
      </c>
      <c r="J22" s="14">
        <v>30</v>
      </c>
      <c r="K22" s="62">
        <v>2750</v>
      </c>
      <c r="L22" s="62"/>
      <c r="M22" s="43">
        <v>0</v>
      </c>
      <c r="N22" s="62">
        <f t="shared" si="0"/>
        <v>2750</v>
      </c>
      <c r="O22" s="62">
        <f t="shared" si="1"/>
        <v>275</v>
      </c>
      <c r="P22" s="62">
        <f t="shared" si="2"/>
        <v>47.024999999999999</v>
      </c>
      <c r="Q22" s="62">
        <f t="shared" si="3"/>
        <v>13.75</v>
      </c>
      <c r="R22" s="62">
        <f t="shared" si="4"/>
        <v>13.75</v>
      </c>
      <c r="S22" s="43">
        <v>0</v>
      </c>
      <c r="T22" s="43">
        <f t="shared" si="5"/>
        <v>349.52499999999998</v>
      </c>
      <c r="U22" s="43">
        <f t="shared" si="6"/>
        <v>2400.4749999999999</v>
      </c>
      <c r="V22" s="44"/>
      <c r="X22" s="45"/>
    </row>
    <row r="23" spans="1:24" ht="22.5" customHeight="1">
      <c r="A23" s="57">
        <v>13</v>
      </c>
      <c r="B23" s="21" t="s">
        <v>257</v>
      </c>
      <c r="C23" s="21" t="s">
        <v>258</v>
      </c>
      <c r="D23" s="20"/>
      <c r="E23" s="22"/>
      <c r="F23" s="30" t="s">
        <v>73</v>
      </c>
      <c r="G23" s="59">
        <v>45689</v>
      </c>
      <c r="H23" s="14">
        <v>5</v>
      </c>
      <c r="I23" s="209"/>
      <c r="J23" s="14">
        <v>30</v>
      </c>
      <c r="K23" s="62">
        <v>2750.02</v>
      </c>
      <c r="L23" s="62"/>
      <c r="M23" s="43">
        <v>0</v>
      </c>
      <c r="N23" s="62">
        <f t="shared" si="0"/>
        <v>2750.02</v>
      </c>
      <c r="O23" s="62">
        <f t="shared" si="1"/>
        <v>275.00200000000001</v>
      </c>
      <c r="P23" s="62">
        <f t="shared" si="2"/>
        <v>47.025342000000002</v>
      </c>
      <c r="Q23" s="62">
        <f t="shared" si="3"/>
        <v>13.7501</v>
      </c>
      <c r="R23" s="62">
        <f t="shared" si="4"/>
        <v>13.7501</v>
      </c>
      <c r="S23" s="43">
        <v>0</v>
      </c>
      <c r="T23" s="43">
        <f t="shared" si="5"/>
        <v>349.52754199999998</v>
      </c>
      <c r="U23" s="43">
        <f t="shared" si="6"/>
        <v>2400.4924580000002</v>
      </c>
      <c r="V23" s="44"/>
      <c r="X23" s="45"/>
    </row>
    <row r="24" spans="1:24" ht="22.5" customHeight="1">
      <c r="A24" s="57">
        <v>14</v>
      </c>
      <c r="B24" s="41" t="s">
        <v>45</v>
      </c>
      <c r="C24" s="41" t="s">
        <v>46</v>
      </c>
      <c r="D24" s="42"/>
      <c r="E24" s="14"/>
      <c r="F24" s="41" t="s">
        <v>47</v>
      </c>
      <c r="G24" s="30">
        <v>45689</v>
      </c>
      <c r="H24" s="63">
        <v>6</v>
      </c>
      <c r="I24" s="64"/>
      <c r="J24" s="14">
        <v>30</v>
      </c>
      <c r="K24" s="62">
        <v>3491.25</v>
      </c>
      <c r="L24" s="62"/>
      <c r="M24" s="43">
        <v>0</v>
      </c>
      <c r="N24" s="62">
        <f t="shared" si="0"/>
        <v>3491.25</v>
      </c>
      <c r="O24" s="62">
        <f t="shared" si="1"/>
        <v>349.125</v>
      </c>
      <c r="P24" s="62">
        <f t="shared" si="2"/>
        <v>59.700375000000001</v>
      </c>
      <c r="Q24" s="62">
        <f t="shared" si="3"/>
        <v>17.456250000000001</v>
      </c>
      <c r="R24" s="62">
        <f t="shared" si="4"/>
        <v>17.456250000000001</v>
      </c>
      <c r="S24" s="43">
        <v>0</v>
      </c>
      <c r="T24" s="43">
        <f t="shared" si="5"/>
        <v>443.73787500000003</v>
      </c>
      <c r="U24" s="43">
        <f>+N24-T24</f>
        <v>3047.5121250000002</v>
      </c>
      <c r="V24" s="44"/>
      <c r="X24" s="108"/>
    </row>
    <row r="25" spans="1:24" ht="22.5" customHeight="1">
      <c r="A25" s="57">
        <v>15</v>
      </c>
      <c r="B25" s="41" t="s">
        <v>31</v>
      </c>
      <c r="C25" s="41" t="s">
        <v>62</v>
      </c>
      <c r="D25" s="42"/>
      <c r="E25" s="14"/>
      <c r="F25" s="41" t="s">
        <v>32</v>
      </c>
      <c r="G25" s="59">
        <v>45689</v>
      </c>
      <c r="H25" s="40">
        <v>5</v>
      </c>
      <c r="J25" s="15">
        <v>30</v>
      </c>
      <c r="K25" s="38">
        <v>2861.09</v>
      </c>
      <c r="L25" s="62"/>
      <c r="M25" s="43">
        <v>0</v>
      </c>
      <c r="N25" s="62">
        <f t="shared" si="0"/>
        <v>2861.09</v>
      </c>
      <c r="O25" s="62">
        <f t="shared" si="1"/>
        <v>286.10900000000004</v>
      </c>
      <c r="P25" s="62">
        <f t="shared" si="2"/>
        <v>48.924639000000006</v>
      </c>
      <c r="Q25" s="62">
        <f t="shared" si="3"/>
        <v>14.30545</v>
      </c>
      <c r="R25" s="62">
        <f t="shared" si="4"/>
        <v>14.30545</v>
      </c>
      <c r="S25" s="43">
        <v>0</v>
      </c>
      <c r="T25" s="43">
        <f t="shared" si="5"/>
        <v>363.64453900000007</v>
      </c>
      <c r="U25" s="43">
        <f t="shared" si="6"/>
        <v>2497.4454610000003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45689</v>
      </c>
      <c r="H26" s="63">
        <v>5</v>
      </c>
      <c r="I26" s="64"/>
      <c r="J26" s="14">
        <v>30</v>
      </c>
      <c r="K26" s="62">
        <v>2750</v>
      </c>
      <c r="L26" s="62"/>
      <c r="M26" s="43">
        <v>0</v>
      </c>
      <c r="N26" s="62">
        <f t="shared" si="0"/>
        <v>2750</v>
      </c>
      <c r="O26" s="62">
        <f t="shared" si="1"/>
        <v>275</v>
      </c>
      <c r="P26" s="62">
        <f t="shared" si="2"/>
        <v>47.024999999999999</v>
      </c>
      <c r="Q26" s="62">
        <f t="shared" si="3"/>
        <v>13.75</v>
      </c>
      <c r="R26" s="62">
        <f t="shared" si="4"/>
        <v>13.75</v>
      </c>
      <c r="S26" s="43">
        <v>0</v>
      </c>
      <c r="T26" s="43">
        <f t="shared" si="5"/>
        <v>349.52499999999998</v>
      </c>
      <c r="U26" s="43">
        <f t="shared" si="6"/>
        <v>2400.4749999999999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45689</v>
      </c>
      <c r="H27" s="40">
        <v>5</v>
      </c>
      <c r="J27" s="15">
        <v>30</v>
      </c>
      <c r="K27" s="38">
        <v>2750</v>
      </c>
      <c r="L27" s="62"/>
      <c r="M27" s="43">
        <v>0</v>
      </c>
      <c r="N27" s="62">
        <f t="shared" si="0"/>
        <v>2750</v>
      </c>
      <c r="O27" s="62">
        <f t="shared" si="1"/>
        <v>275</v>
      </c>
      <c r="P27" s="62">
        <f t="shared" si="2"/>
        <v>47.024999999999999</v>
      </c>
      <c r="Q27" s="62">
        <f t="shared" si="3"/>
        <v>13.75</v>
      </c>
      <c r="R27" s="62">
        <f t="shared" si="4"/>
        <v>13.75</v>
      </c>
      <c r="S27" s="43">
        <v>0</v>
      </c>
      <c r="T27" s="43">
        <f t="shared" si="5"/>
        <v>349.52499999999998</v>
      </c>
      <c r="U27" s="43">
        <f t="shared" si="6"/>
        <v>2400.4749999999999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45689</v>
      </c>
      <c r="H28" s="40">
        <v>5</v>
      </c>
      <c r="J28" s="15">
        <v>30</v>
      </c>
      <c r="K28" s="38">
        <v>2750</v>
      </c>
      <c r="L28" s="62"/>
      <c r="M28" s="43">
        <v>0</v>
      </c>
      <c r="N28" s="62">
        <f t="shared" si="0"/>
        <v>2750</v>
      </c>
      <c r="O28" s="62">
        <f t="shared" si="1"/>
        <v>275</v>
      </c>
      <c r="P28" s="62">
        <f t="shared" si="2"/>
        <v>47.024999999999999</v>
      </c>
      <c r="Q28" s="62">
        <f t="shared" si="3"/>
        <v>13.75</v>
      </c>
      <c r="R28" s="62">
        <f t="shared" si="4"/>
        <v>13.75</v>
      </c>
      <c r="S28" s="43">
        <v>0</v>
      </c>
      <c r="T28" s="43">
        <f t="shared" si="5"/>
        <v>349.52499999999998</v>
      </c>
      <c r="U28" s="43">
        <f t="shared" si="6"/>
        <v>2400.4749999999999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45689</v>
      </c>
      <c r="H29" s="40">
        <v>5</v>
      </c>
      <c r="J29" s="15">
        <v>30</v>
      </c>
      <c r="K29" s="38">
        <v>2750.11</v>
      </c>
      <c r="L29" s="62"/>
      <c r="M29" s="43">
        <v>0</v>
      </c>
      <c r="N29" s="62">
        <f t="shared" si="0"/>
        <v>2750.11</v>
      </c>
      <c r="O29" s="62">
        <f t="shared" si="1"/>
        <v>275.01100000000002</v>
      </c>
      <c r="P29" s="62">
        <f t="shared" si="2"/>
        <v>47.026881000000003</v>
      </c>
      <c r="Q29" s="62">
        <f t="shared" si="3"/>
        <v>13.75055</v>
      </c>
      <c r="R29" s="62">
        <f t="shared" si="4"/>
        <v>13.75055</v>
      </c>
      <c r="S29" s="43">
        <v>0</v>
      </c>
      <c r="T29" s="43">
        <f t="shared" si="5"/>
        <v>349.53898099999998</v>
      </c>
      <c r="U29" s="43">
        <f t="shared" si="6"/>
        <v>2400.571019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59">
        <v>45689</v>
      </c>
      <c r="H30" s="40">
        <v>4</v>
      </c>
      <c r="I30" s="76"/>
      <c r="J30" s="75">
        <v>30</v>
      </c>
      <c r="K30" s="68">
        <v>2750</v>
      </c>
      <c r="L30" s="69"/>
      <c r="M30" s="43">
        <v>0</v>
      </c>
      <c r="N30" s="62">
        <f t="shared" si="0"/>
        <v>2750</v>
      </c>
      <c r="O30" s="62">
        <f t="shared" si="1"/>
        <v>275</v>
      </c>
      <c r="P30" s="62">
        <f t="shared" si="2"/>
        <v>47.024999999999999</v>
      </c>
      <c r="Q30" s="62">
        <f t="shared" si="3"/>
        <v>13.75</v>
      </c>
      <c r="R30" s="62">
        <f t="shared" si="4"/>
        <v>13.75</v>
      </c>
      <c r="S30" s="43">
        <v>0</v>
      </c>
      <c r="T30" s="43">
        <f t="shared" si="5"/>
        <v>349.52499999999998</v>
      </c>
      <c r="U30" s="43">
        <f t="shared" si="6"/>
        <v>2400.4749999999999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59">
        <v>45689</v>
      </c>
      <c r="H31" s="40">
        <v>5</v>
      </c>
      <c r="I31" s="76"/>
      <c r="J31" s="75">
        <v>30</v>
      </c>
      <c r="K31" s="68">
        <v>2750</v>
      </c>
      <c r="L31" s="69"/>
      <c r="M31" s="43">
        <v>0</v>
      </c>
      <c r="N31" s="62">
        <f t="shared" si="0"/>
        <v>2750</v>
      </c>
      <c r="O31" s="62">
        <f t="shared" si="1"/>
        <v>275</v>
      </c>
      <c r="P31" s="62">
        <f t="shared" si="2"/>
        <v>47.024999999999999</v>
      </c>
      <c r="Q31" s="62">
        <f t="shared" si="3"/>
        <v>13.75</v>
      </c>
      <c r="R31" s="62">
        <f t="shared" si="4"/>
        <v>13.75</v>
      </c>
      <c r="S31" s="43">
        <v>0</v>
      </c>
      <c r="T31" s="43">
        <f t="shared" si="5"/>
        <v>349.52499999999998</v>
      </c>
      <c r="U31" s="43">
        <f t="shared" si="6"/>
        <v>2400.4749999999999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64220.069999999992</v>
      </c>
      <c r="L32" s="32"/>
      <c r="M32" s="32">
        <f>SUM(M16:M29)</f>
        <v>0</v>
      </c>
      <c r="N32" s="32">
        <f>SUM(N11:N31)</f>
        <v>64220.069999999992</v>
      </c>
      <c r="O32" s="32">
        <f>SUM(O11:O31)</f>
        <v>6422.0070000000005</v>
      </c>
      <c r="P32" s="32">
        <f>SUM(P11:P31)</f>
        <v>1098.1631970000001</v>
      </c>
      <c r="Q32" s="32">
        <f>SUM(Q11:Q31)</f>
        <v>321.10035000000005</v>
      </c>
      <c r="R32" s="32">
        <f>SUM(R11:R31)</f>
        <v>321.10035000000005</v>
      </c>
      <c r="S32" s="32">
        <f>SUM(S16:S31)</f>
        <v>0</v>
      </c>
      <c r="T32" s="32">
        <f>SUM(T11:T31)</f>
        <v>8162.3708969999971</v>
      </c>
      <c r="U32" s="32">
        <f>SUM(U11:U31)</f>
        <v>56057.699102999999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8162.3708969999971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268</v>
      </c>
      <c r="L36"/>
      <c r="M36"/>
      <c r="N36"/>
      <c r="O36"/>
      <c r="P36"/>
      <c r="Q36"/>
      <c r="R36"/>
      <c r="S36"/>
      <c r="T36"/>
      <c r="U36"/>
      <c r="V36"/>
    </row>
    <row r="41" spans="1:26">
      <c r="C41" s="46">
        <f>N32</f>
        <v>64220.069999999992</v>
      </c>
    </row>
    <row r="42" spans="1:26">
      <c r="C42" s="46">
        <v>13235.49</v>
      </c>
    </row>
    <row r="43" spans="1:26">
      <c r="C43" s="46">
        <f>SUM(C41:C42)</f>
        <v>77455.56</v>
      </c>
    </row>
    <row r="46" spans="1:26">
      <c r="C46" s="219">
        <f>N32*10%</f>
        <v>6422.0069999999996</v>
      </c>
      <c r="F46" t="s">
        <v>264</v>
      </c>
    </row>
    <row r="49" spans="3:6">
      <c r="C49" s="202">
        <f>C43*13.92%</f>
        <v>10781.813951999999</v>
      </c>
      <c r="F49" s="203" t="s">
        <v>265</v>
      </c>
    </row>
    <row r="50" spans="3:6">
      <c r="C50" s="202">
        <f>C43*2%</f>
        <v>1549.1112000000001</v>
      </c>
      <c r="F50" s="204">
        <v>0.02</v>
      </c>
    </row>
    <row r="51" spans="3:6">
      <c r="C51" s="202">
        <f>C43*3.5%</f>
        <v>2710.9446000000003</v>
      </c>
      <c r="F51" s="203">
        <v>3.5000000000000003E-2</v>
      </c>
    </row>
    <row r="52" spans="3:6">
      <c r="C52" s="202">
        <f>C43*0.5%</f>
        <v>387.27780000000001</v>
      </c>
      <c r="F52" s="203">
        <v>5.0000000000000001E-3</v>
      </c>
    </row>
    <row r="53" spans="3:6">
      <c r="C53" s="220">
        <f>SUM(C49:C52)</f>
        <v>15429.147551999999</v>
      </c>
    </row>
    <row r="56" spans="3:6" ht="15.75" thickBot="1">
      <c r="C56" s="221">
        <f>C46+C53</f>
        <v>21851.154552</v>
      </c>
      <c r="F56" t="s">
        <v>266</v>
      </c>
    </row>
    <row r="57" spans="3:6" ht="15.75" thickTop="1"/>
  </sheetData>
  <mergeCells count="17"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  <mergeCell ref="V8:V10"/>
    <mergeCell ref="K8:K10"/>
    <mergeCell ref="M8:M10"/>
    <mergeCell ref="N8:N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D57"/>
  <sheetViews>
    <sheetView topLeftCell="F23" workbookViewId="0">
      <selection activeCell="K36" sqref="K36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12.85546875" customWidth="1"/>
    <col min="14" max="14" width="11.42578125" customWidth="1"/>
    <col min="15" max="15" width="11" customWidth="1"/>
    <col min="16" max="16" width="11.85546875" customWidth="1"/>
    <col min="17" max="17" width="7" customWidth="1"/>
    <col min="18" max="18" width="9" customWidth="1"/>
    <col min="19" max="19" width="8.42578125" customWidth="1"/>
    <col min="20" max="20" width="8" customWidth="1"/>
    <col min="21" max="21" width="7.28515625" customWidth="1"/>
    <col min="22" max="22" width="6.7109375" customWidth="1"/>
    <col min="23" max="23" width="6.140625" customWidth="1"/>
    <col min="24" max="24" width="9.7109375" customWidth="1"/>
    <col min="25" max="25" width="9.28515625" customWidth="1"/>
    <col min="26" max="26" width="20.5703125" customWidth="1"/>
    <col min="27" max="28" width="11.42578125" style="18" customWidth="1"/>
  </cols>
  <sheetData>
    <row r="1" spans="1:28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51"/>
      <c r="Y1" s="1"/>
      <c r="Z1" s="129" t="s">
        <v>33</v>
      </c>
      <c r="AA1" s="51"/>
    </row>
    <row r="2" spans="1:28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51"/>
      <c r="Y2" s="51"/>
      <c r="Z2" s="51"/>
      <c r="AA2" s="17"/>
    </row>
    <row r="3" spans="1:28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2"/>
      <c r="Y3" s="1"/>
      <c r="Z3" s="1"/>
      <c r="AA3" s="17"/>
    </row>
    <row r="4" spans="1:28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7"/>
      <c r="AB4" s="27"/>
    </row>
    <row r="5" spans="1:28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7"/>
      <c r="AB5" s="27"/>
    </row>
    <row r="6" spans="1:28" s="26" customFormat="1" ht="19.5" customHeight="1">
      <c r="A6" s="245" t="s">
        <v>269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7"/>
      <c r="AB6" s="27"/>
    </row>
    <row r="7" spans="1:28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6"/>
      <c r="R7" s="6"/>
      <c r="S7" s="4"/>
      <c r="T7" s="4"/>
      <c r="U7" s="4"/>
      <c r="V7" s="4"/>
      <c r="W7" s="4"/>
      <c r="X7" s="4"/>
      <c r="AA7" s="7">
        <v>42399</v>
      </c>
      <c r="AB7" s="8">
        <v>1656</v>
      </c>
    </row>
    <row r="8" spans="1:28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22"/>
      <c r="M8" s="225"/>
      <c r="N8" s="225"/>
      <c r="O8" s="225"/>
      <c r="P8" s="225"/>
      <c r="Q8" s="234" t="s">
        <v>11</v>
      </c>
      <c r="R8" s="234" t="s">
        <v>126</v>
      </c>
      <c r="S8" s="231" t="s">
        <v>13</v>
      </c>
      <c r="T8" s="232"/>
      <c r="U8" s="232"/>
      <c r="V8" s="232"/>
      <c r="W8" s="233"/>
      <c r="X8" s="234" t="s">
        <v>75</v>
      </c>
      <c r="Y8" s="234" t="s">
        <v>27</v>
      </c>
      <c r="Z8" s="234" t="s">
        <v>14</v>
      </c>
    </row>
    <row r="9" spans="1:28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224" t="s">
        <v>15</v>
      </c>
      <c r="K9" s="235"/>
      <c r="L9" s="223" t="s">
        <v>87</v>
      </c>
      <c r="M9" s="226" t="s">
        <v>219</v>
      </c>
      <c r="N9" s="226" t="s">
        <v>191</v>
      </c>
      <c r="O9" s="226" t="s">
        <v>116</v>
      </c>
      <c r="P9" s="226" t="s">
        <v>117</v>
      </c>
      <c r="Q9" s="235"/>
      <c r="R9" s="235"/>
      <c r="S9" s="25" t="s">
        <v>26</v>
      </c>
      <c r="T9" s="24" t="s">
        <v>25</v>
      </c>
      <c r="U9" s="24" t="s">
        <v>23</v>
      </c>
      <c r="V9" s="24" t="s">
        <v>24</v>
      </c>
      <c r="W9" s="25" t="s">
        <v>16</v>
      </c>
      <c r="X9" s="235"/>
      <c r="Y9" s="235"/>
      <c r="Z9" s="235"/>
    </row>
    <row r="10" spans="1:28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23"/>
      <c r="M10" s="227">
        <v>2025</v>
      </c>
      <c r="N10" s="227">
        <v>2025</v>
      </c>
      <c r="O10" s="227">
        <v>2025</v>
      </c>
      <c r="P10" s="227">
        <v>2025</v>
      </c>
      <c r="Q10" s="236"/>
      <c r="R10" s="236"/>
      <c r="S10" s="11">
        <v>0.1</v>
      </c>
      <c r="T10" s="10">
        <v>1.7100000000000001E-2</v>
      </c>
      <c r="U10" s="12">
        <v>5.0000000000000001E-3</v>
      </c>
      <c r="V10" s="13">
        <v>5.0000000000000001E-3</v>
      </c>
      <c r="W10" s="11">
        <v>0.13</v>
      </c>
      <c r="X10" s="236"/>
      <c r="Y10" s="236"/>
      <c r="Z10" s="236"/>
    </row>
    <row r="11" spans="1:28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45689</v>
      </c>
      <c r="H11" s="14">
        <v>5</v>
      </c>
      <c r="I11" s="45"/>
      <c r="J11" s="58">
        <v>30</v>
      </c>
      <c r="K11" s="155">
        <v>2587.36</v>
      </c>
      <c r="L11" s="60"/>
      <c r="M11" s="41"/>
      <c r="N11" s="125">
        <f>K11*6.29%</f>
        <v>162.744944</v>
      </c>
      <c r="O11" s="125">
        <f>K11*6.29%</f>
        <v>162.744944</v>
      </c>
      <c r="P11" s="125">
        <f>K11*6.29%</f>
        <v>162.744944</v>
      </c>
      <c r="Q11" s="43">
        <v>0</v>
      </c>
      <c r="R11" s="62">
        <f>M11+N11+O11+P11</f>
        <v>488.23483199999998</v>
      </c>
      <c r="S11" s="62">
        <f t="shared" ref="S11:S31" si="0">+R11*0.1</f>
        <v>48.823483199999998</v>
      </c>
      <c r="T11" s="62">
        <f t="shared" ref="T11:T31" si="1">+R11*0.0171</f>
        <v>8.3488156272000005</v>
      </c>
      <c r="U11" s="62">
        <f t="shared" ref="U11:U31" si="2">+R11*0.005</f>
        <v>2.4411741600000001</v>
      </c>
      <c r="V11" s="62">
        <f t="shared" ref="V11:V31" si="3">R11*0.5%</f>
        <v>2.4411741600000001</v>
      </c>
      <c r="W11" s="43">
        <v>0</v>
      </c>
      <c r="X11" s="43">
        <f t="shared" ref="X11:X31" si="4">+S11+T11+U11+V11+W11</f>
        <v>62.054647147200001</v>
      </c>
      <c r="Y11" s="43">
        <f t="shared" ref="Y11:Y31" si="5">+R11-X11</f>
        <v>426.18018485279998</v>
      </c>
      <c r="Z11" s="55"/>
    </row>
    <row r="12" spans="1:28" ht="22.5" customHeight="1">
      <c r="A12" s="57">
        <v>2</v>
      </c>
      <c r="B12" s="56" t="s">
        <v>250</v>
      </c>
      <c r="C12" s="66" t="s">
        <v>251</v>
      </c>
      <c r="D12" s="55"/>
      <c r="E12" s="55"/>
      <c r="F12" s="123" t="s">
        <v>252</v>
      </c>
      <c r="G12" s="59">
        <v>45689</v>
      </c>
      <c r="H12" s="14">
        <v>5</v>
      </c>
      <c r="I12" s="45"/>
      <c r="J12" s="58">
        <v>30</v>
      </c>
      <c r="K12" s="155">
        <v>3000</v>
      </c>
      <c r="L12" s="60"/>
      <c r="M12" s="41"/>
      <c r="N12" s="125">
        <f>K12*5%</f>
        <v>150</v>
      </c>
      <c r="O12" s="125">
        <f>K12*5%</f>
        <v>150</v>
      </c>
      <c r="P12" s="125">
        <f>K12*5%</f>
        <v>150</v>
      </c>
      <c r="Q12" s="43">
        <v>0</v>
      </c>
      <c r="R12" s="62">
        <f>M12+N12+O12+P12</f>
        <v>450</v>
      </c>
      <c r="S12" s="62">
        <f t="shared" si="0"/>
        <v>45</v>
      </c>
      <c r="T12" s="62">
        <f t="shared" si="1"/>
        <v>7.6950000000000003</v>
      </c>
      <c r="U12" s="62">
        <f t="shared" si="2"/>
        <v>2.25</v>
      </c>
      <c r="V12" s="62">
        <f t="shared" si="3"/>
        <v>2.25</v>
      </c>
      <c r="W12" s="43">
        <v>0</v>
      </c>
      <c r="X12" s="43">
        <f t="shared" si="4"/>
        <v>57.195</v>
      </c>
      <c r="Y12" s="43">
        <f t="shared" si="5"/>
        <v>392.80500000000001</v>
      </c>
      <c r="Z12" s="55"/>
    </row>
    <row r="13" spans="1:28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253</v>
      </c>
      <c r="G13" s="59">
        <v>45689</v>
      </c>
      <c r="H13" s="14">
        <v>5</v>
      </c>
      <c r="I13" s="45"/>
      <c r="J13" s="58">
        <v>30</v>
      </c>
      <c r="K13" s="155">
        <v>3000</v>
      </c>
      <c r="L13" s="60"/>
      <c r="M13" s="41"/>
      <c r="N13" s="125">
        <f>K13*5%</f>
        <v>150</v>
      </c>
      <c r="O13" s="125">
        <f>K13*5%</f>
        <v>150</v>
      </c>
      <c r="P13" s="125">
        <f>K13*5%</f>
        <v>150</v>
      </c>
      <c r="Q13" s="43">
        <v>0</v>
      </c>
      <c r="R13" s="62">
        <f>M13+N13+O13+P13</f>
        <v>450</v>
      </c>
      <c r="S13" s="62">
        <f t="shared" si="0"/>
        <v>45</v>
      </c>
      <c r="T13" s="62">
        <f t="shared" si="1"/>
        <v>7.6950000000000003</v>
      </c>
      <c r="U13" s="62">
        <f t="shared" si="2"/>
        <v>2.25</v>
      </c>
      <c r="V13" s="62">
        <f t="shared" si="3"/>
        <v>2.25</v>
      </c>
      <c r="W13" s="43">
        <v>0</v>
      </c>
      <c r="X13" s="43">
        <f t="shared" si="4"/>
        <v>57.195</v>
      </c>
      <c r="Y13" s="43">
        <f t="shared" si="5"/>
        <v>392.80500000000001</v>
      </c>
      <c r="Z13" s="55"/>
    </row>
    <row r="14" spans="1:28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2546.16</v>
      </c>
      <c r="L14" s="60"/>
      <c r="M14" s="41"/>
      <c r="N14" s="125">
        <f>K14*8.01%</f>
        <v>203.947416</v>
      </c>
      <c r="O14" s="125">
        <f>K14*8.01%</f>
        <v>203.947416</v>
      </c>
      <c r="P14" s="125">
        <f>K14*8.01%</f>
        <v>203.947416</v>
      </c>
      <c r="Q14" s="43">
        <v>0</v>
      </c>
      <c r="R14" s="62">
        <f>M14+N14+O14+P14</f>
        <v>611.84224800000004</v>
      </c>
      <c r="S14" s="62">
        <f t="shared" si="0"/>
        <v>61.18422480000001</v>
      </c>
      <c r="T14" s="62">
        <f t="shared" si="1"/>
        <v>10.462502440800002</v>
      </c>
      <c r="U14" s="62">
        <f t="shared" si="2"/>
        <v>3.0592112400000002</v>
      </c>
      <c r="V14" s="62">
        <f t="shared" si="3"/>
        <v>3.0592112400000002</v>
      </c>
      <c r="W14" s="43">
        <v>0</v>
      </c>
      <c r="X14" s="43">
        <f t="shared" si="4"/>
        <v>77.765149720799997</v>
      </c>
      <c r="Y14" s="43">
        <f t="shared" si="5"/>
        <v>534.07709827920007</v>
      </c>
      <c r="Z14" s="55"/>
    </row>
    <row r="15" spans="1:28" ht="22.5" customHeight="1">
      <c r="A15" s="57">
        <v>5</v>
      </c>
      <c r="B15" s="41" t="s">
        <v>254</v>
      </c>
      <c r="C15" s="41" t="s">
        <v>255</v>
      </c>
      <c r="D15" s="42"/>
      <c r="E15" s="14"/>
      <c r="F15" s="41" t="s">
        <v>32</v>
      </c>
      <c r="G15" s="59">
        <v>45689</v>
      </c>
      <c r="H15" s="63">
        <v>5</v>
      </c>
      <c r="I15" s="64"/>
      <c r="J15" s="14">
        <v>30</v>
      </c>
      <c r="K15" s="62">
        <v>2546.16</v>
      </c>
      <c r="L15" s="60"/>
      <c r="M15" s="41"/>
      <c r="N15" s="125">
        <f>K15*8.01%</f>
        <v>203.947416</v>
      </c>
      <c r="O15" s="125">
        <f>K15*8.01%</f>
        <v>203.947416</v>
      </c>
      <c r="P15" s="125">
        <f>K15*8.01%</f>
        <v>203.947416</v>
      </c>
      <c r="Q15" s="43">
        <v>0</v>
      </c>
      <c r="R15" s="62">
        <f t="shared" ref="R15:R31" si="6">M15+N15+O15+P15</f>
        <v>611.84224800000004</v>
      </c>
      <c r="S15" s="62">
        <f t="shared" si="0"/>
        <v>61.18422480000001</v>
      </c>
      <c r="T15" s="62">
        <f t="shared" si="1"/>
        <v>10.462502440800002</v>
      </c>
      <c r="U15" s="62">
        <f t="shared" si="2"/>
        <v>3.0592112400000002</v>
      </c>
      <c r="V15" s="62">
        <f t="shared" si="3"/>
        <v>3.0592112400000002</v>
      </c>
      <c r="W15" s="43">
        <v>0</v>
      </c>
      <c r="X15" s="43">
        <f t="shared" si="4"/>
        <v>77.765149720799997</v>
      </c>
      <c r="Y15" s="43">
        <f t="shared" si="5"/>
        <v>534.07709827920007</v>
      </c>
      <c r="Z15" s="55"/>
    </row>
    <row r="16" spans="1:28" ht="22.5" customHeight="1">
      <c r="A16" s="57">
        <v>6</v>
      </c>
      <c r="B16" s="41" t="s">
        <v>44</v>
      </c>
      <c r="C16" s="41" t="s">
        <v>61</v>
      </c>
      <c r="D16" s="42"/>
      <c r="E16" s="14"/>
      <c r="F16" s="41" t="s">
        <v>49</v>
      </c>
      <c r="G16" s="59">
        <v>45689</v>
      </c>
      <c r="H16" s="63">
        <v>5</v>
      </c>
      <c r="I16" s="64"/>
      <c r="J16" s="14">
        <v>30</v>
      </c>
      <c r="K16" s="62">
        <v>4460</v>
      </c>
      <c r="L16" s="62"/>
      <c r="M16" s="62"/>
      <c r="N16" s="62">
        <f>K16*5%</f>
        <v>223</v>
      </c>
      <c r="O16" s="62">
        <f>K16*5%</f>
        <v>223</v>
      </c>
      <c r="P16" s="62">
        <f>K16*5%</f>
        <v>223</v>
      </c>
      <c r="Q16" s="43">
        <v>0</v>
      </c>
      <c r="R16" s="62">
        <f t="shared" si="6"/>
        <v>669</v>
      </c>
      <c r="S16" s="62">
        <f t="shared" si="0"/>
        <v>66.900000000000006</v>
      </c>
      <c r="T16" s="62">
        <f t="shared" si="1"/>
        <v>11.4399</v>
      </c>
      <c r="U16" s="62">
        <f t="shared" si="2"/>
        <v>3.3450000000000002</v>
      </c>
      <c r="V16" s="62">
        <f t="shared" si="3"/>
        <v>3.3450000000000002</v>
      </c>
      <c r="W16" s="43">
        <v>0</v>
      </c>
      <c r="X16" s="43">
        <f t="shared" si="4"/>
        <v>85.029899999999998</v>
      </c>
      <c r="Y16" s="43">
        <f t="shared" si="5"/>
        <v>583.9701</v>
      </c>
      <c r="Z16" s="44"/>
      <c r="AB16" s="45"/>
    </row>
    <row r="17" spans="1:28" ht="22.5" customHeight="1">
      <c r="A17" s="57">
        <v>7</v>
      </c>
      <c r="B17" s="41" t="s">
        <v>79</v>
      </c>
      <c r="C17" s="41" t="s">
        <v>80</v>
      </c>
      <c r="D17" s="42"/>
      <c r="E17" s="14"/>
      <c r="F17" s="41" t="s">
        <v>148</v>
      </c>
      <c r="G17" s="59">
        <v>45689</v>
      </c>
      <c r="H17" s="40">
        <v>5</v>
      </c>
      <c r="J17" s="15">
        <v>30</v>
      </c>
      <c r="K17" s="38">
        <v>4389</v>
      </c>
      <c r="L17" s="62"/>
      <c r="M17" s="62"/>
      <c r="N17" s="62">
        <f>K17*5%</f>
        <v>219.45000000000002</v>
      </c>
      <c r="O17" s="62">
        <f>K17*5%</f>
        <v>219.45000000000002</v>
      </c>
      <c r="P17" s="62">
        <f>K17*5%</f>
        <v>219.45000000000002</v>
      </c>
      <c r="Q17" s="43">
        <v>0</v>
      </c>
      <c r="R17" s="62">
        <f t="shared" si="6"/>
        <v>658.35</v>
      </c>
      <c r="S17" s="62">
        <f t="shared" si="0"/>
        <v>65.835000000000008</v>
      </c>
      <c r="T17" s="62">
        <f t="shared" si="1"/>
        <v>11.257785</v>
      </c>
      <c r="U17" s="62">
        <f t="shared" si="2"/>
        <v>3.2917500000000004</v>
      </c>
      <c r="V17" s="62">
        <f t="shared" si="3"/>
        <v>3.2917500000000004</v>
      </c>
      <c r="W17" s="43">
        <v>0</v>
      </c>
      <c r="X17" s="43">
        <f t="shared" si="4"/>
        <v>83.676285000000007</v>
      </c>
      <c r="Y17" s="43">
        <f t="shared" si="5"/>
        <v>574.67371500000002</v>
      </c>
      <c r="Z17" s="44"/>
      <c r="AB17" s="45"/>
    </row>
    <row r="18" spans="1:28" ht="22.5" customHeight="1">
      <c r="A18" s="57">
        <v>8</v>
      </c>
      <c r="B18" s="110" t="s">
        <v>19</v>
      </c>
      <c r="C18" s="110" t="s">
        <v>20</v>
      </c>
      <c r="D18" s="42"/>
      <c r="E18" s="14"/>
      <c r="F18" s="41" t="s">
        <v>178</v>
      </c>
      <c r="G18" s="59">
        <v>45689</v>
      </c>
      <c r="H18" s="40">
        <v>5</v>
      </c>
      <c r="J18" s="15">
        <v>30</v>
      </c>
      <c r="K18" s="38">
        <v>3022.72</v>
      </c>
      <c r="L18" s="62"/>
      <c r="M18" s="62"/>
      <c r="N18" s="62">
        <f>K18*5%</f>
        <v>151.136</v>
      </c>
      <c r="O18" s="62">
        <f>K18*5%</f>
        <v>151.136</v>
      </c>
      <c r="P18" s="62">
        <f>K18*5%</f>
        <v>151.136</v>
      </c>
      <c r="Q18" s="43">
        <v>0</v>
      </c>
      <c r="R18" s="62">
        <f t="shared" si="6"/>
        <v>453.40800000000002</v>
      </c>
      <c r="S18" s="62">
        <f t="shared" si="0"/>
        <v>45.340800000000002</v>
      </c>
      <c r="T18" s="62">
        <f t="shared" si="1"/>
        <v>7.753276800000001</v>
      </c>
      <c r="U18" s="62">
        <f t="shared" si="2"/>
        <v>2.2670400000000002</v>
      </c>
      <c r="V18" s="62">
        <f t="shared" si="3"/>
        <v>2.2670400000000002</v>
      </c>
      <c r="W18" s="43">
        <v>0</v>
      </c>
      <c r="X18" s="43">
        <f t="shared" si="4"/>
        <v>57.628156800000006</v>
      </c>
      <c r="Y18" s="43">
        <f t="shared" si="5"/>
        <v>395.77984320000002</v>
      </c>
      <c r="Z18" s="44"/>
      <c r="AB18" s="45"/>
    </row>
    <row r="19" spans="1:28" ht="22.5" customHeight="1">
      <c r="A19" s="57">
        <v>9</v>
      </c>
      <c r="B19" s="110" t="s">
        <v>101</v>
      </c>
      <c r="C19" s="110" t="s">
        <v>102</v>
      </c>
      <c r="D19" s="119"/>
      <c r="E19" s="120" t="s">
        <v>180</v>
      </c>
      <c r="F19" s="121" t="s">
        <v>103</v>
      </c>
      <c r="G19" s="59">
        <v>45689</v>
      </c>
      <c r="H19" s="40">
        <v>5</v>
      </c>
      <c r="J19" s="15">
        <v>30</v>
      </c>
      <c r="K19" s="38">
        <v>3159.05</v>
      </c>
      <c r="L19" s="62"/>
      <c r="M19" s="62"/>
      <c r="N19" s="62">
        <f>K19*5%</f>
        <v>157.95250000000001</v>
      </c>
      <c r="O19" s="62">
        <f>K19*5%</f>
        <v>157.95250000000001</v>
      </c>
      <c r="P19" s="62">
        <f>K19*5%</f>
        <v>157.95250000000001</v>
      </c>
      <c r="Q19" s="43">
        <v>0</v>
      </c>
      <c r="R19" s="62">
        <f t="shared" si="6"/>
        <v>473.85750000000007</v>
      </c>
      <c r="S19" s="62">
        <f t="shared" si="0"/>
        <v>47.385750000000009</v>
      </c>
      <c r="T19" s="62">
        <f t="shared" si="1"/>
        <v>8.1029632500000019</v>
      </c>
      <c r="U19" s="62">
        <f t="shared" si="2"/>
        <v>2.3692875000000004</v>
      </c>
      <c r="V19" s="62">
        <f t="shared" si="3"/>
        <v>2.3692875000000004</v>
      </c>
      <c r="W19" s="43">
        <v>0</v>
      </c>
      <c r="X19" s="43">
        <f t="shared" si="4"/>
        <v>60.227288250000008</v>
      </c>
      <c r="Y19" s="43">
        <f t="shared" si="5"/>
        <v>413.63021175000006</v>
      </c>
      <c r="Z19" s="44"/>
      <c r="AB19" s="45"/>
    </row>
    <row r="20" spans="1:28" ht="22.5" customHeight="1">
      <c r="A20" s="57">
        <v>10</v>
      </c>
      <c r="B20" s="41" t="s">
        <v>105</v>
      </c>
      <c r="C20" s="41" t="s">
        <v>104</v>
      </c>
      <c r="D20" s="42"/>
      <c r="E20" s="14"/>
      <c r="F20" s="41" t="s">
        <v>32</v>
      </c>
      <c r="G20" s="59">
        <v>45689</v>
      </c>
      <c r="H20" s="40">
        <v>5</v>
      </c>
      <c r="J20" s="15">
        <v>30</v>
      </c>
      <c r="K20" s="38">
        <v>2546.16</v>
      </c>
      <c r="L20" s="62"/>
      <c r="M20" s="62"/>
      <c r="N20" s="62">
        <f>K20*8.01%</f>
        <v>203.947416</v>
      </c>
      <c r="O20" s="62">
        <f>K20*8.01%</f>
        <v>203.947416</v>
      </c>
      <c r="P20" s="62">
        <f>K20*8.01%</f>
        <v>203.947416</v>
      </c>
      <c r="Q20" s="43">
        <v>0</v>
      </c>
      <c r="R20" s="62">
        <f t="shared" si="6"/>
        <v>611.84224800000004</v>
      </c>
      <c r="S20" s="62">
        <f t="shared" si="0"/>
        <v>61.18422480000001</v>
      </c>
      <c r="T20" s="62">
        <f t="shared" si="1"/>
        <v>10.462502440800002</v>
      </c>
      <c r="U20" s="62">
        <f t="shared" si="2"/>
        <v>3.0592112400000002</v>
      </c>
      <c r="V20" s="62">
        <f t="shared" si="3"/>
        <v>3.0592112400000002</v>
      </c>
      <c r="W20" s="43">
        <v>0</v>
      </c>
      <c r="X20" s="43">
        <f t="shared" si="4"/>
        <v>77.765149720799997</v>
      </c>
      <c r="Y20" s="43">
        <f t="shared" si="5"/>
        <v>534.07709827920007</v>
      </c>
      <c r="Z20" s="44"/>
      <c r="AB20" s="45"/>
    </row>
    <row r="21" spans="1:28" ht="26.25" customHeight="1">
      <c r="A21" s="57">
        <v>11</v>
      </c>
      <c r="B21" s="110" t="s">
        <v>69</v>
      </c>
      <c r="C21" s="111" t="s">
        <v>70</v>
      </c>
      <c r="D21" s="127"/>
      <c r="E21" s="128" t="s">
        <v>199</v>
      </c>
      <c r="F21" s="208" t="s">
        <v>256</v>
      </c>
      <c r="G21" s="59">
        <v>45689</v>
      </c>
      <c r="H21" s="40">
        <v>5</v>
      </c>
      <c r="J21" s="15">
        <v>30</v>
      </c>
      <c r="K21" s="38">
        <v>2652.25</v>
      </c>
      <c r="L21" s="62"/>
      <c r="M21" s="62"/>
      <c r="N21" s="62">
        <f>K21*5%</f>
        <v>132.61250000000001</v>
      </c>
      <c r="O21" s="62">
        <f>K21*5%</f>
        <v>132.61250000000001</v>
      </c>
      <c r="P21" s="62">
        <f>K21*5%</f>
        <v>132.61250000000001</v>
      </c>
      <c r="Q21" s="43">
        <v>0</v>
      </c>
      <c r="R21" s="62">
        <f t="shared" si="6"/>
        <v>397.83750000000003</v>
      </c>
      <c r="S21" s="62">
        <f t="shared" si="0"/>
        <v>39.783750000000005</v>
      </c>
      <c r="T21" s="62">
        <f t="shared" si="1"/>
        <v>6.8030212500000005</v>
      </c>
      <c r="U21" s="62">
        <f t="shared" si="2"/>
        <v>1.9891875000000001</v>
      </c>
      <c r="V21" s="62">
        <f t="shared" si="3"/>
        <v>1.9891875000000001</v>
      </c>
      <c r="W21" s="43">
        <v>0</v>
      </c>
      <c r="X21" s="43">
        <f t="shared" si="4"/>
        <v>50.565146250000005</v>
      </c>
      <c r="Y21" s="43">
        <f t="shared" si="5"/>
        <v>347.27235375000004</v>
      </c>
      <c r="Z21" s="44"/>
      <c r="AB21" s="45"/>
    </row>
    <row r="22" spans="1:28" ht="22.5" customHeight="1">
      <c r="A22" s="57">
        <v>12</v>
      </c>
      <c r="B22" s="21" t="s">
        <v>85</v>
      </c>
      <c r="C22" s="21" t="s">
        <v>86</v>
      </c>
      <c r="D22" s="20"/>
      <c r="E22" s="22" t="s">
        <v>40</v>
      </c>
      <c r="F22" s="30" t="s">
        <v>40</v>
      </c>
      <c r="G22" s="59">
        <v>45689</v>
      </c>
      <c r="H22" s="14">
        <v>5</v>
      </c>
      <c r="I22" s="43">
        <v>2122</v>
      </c>
      <c r="J22" s="14">
        <v>30</v>
      </c>
      <c r="K22" s="62">
        <v>2500</v>
      </c>
      <c r="L22" s="62"/>
      <c r="M22" s="62"/>
      <c r="N22" s="62">
        <f>K22*10%</f>
        <v>250</v>
      </c>
      <c r="O22" s="62">
        <f>K22*10%</f>
        <v>250</v>
      </c>
      <c r="P22" s="62">
        <f>K22*10%</f>
        <v>250</v>
      </c>
      <c r="Q22" s="43">
        <v>0</v>
      </c>
      <c r="R22" s="62">
        <f t="shared" si="6"/>
        <v>750</v>
      </c>
      <c r="S22" s="62">
        <f t="shared" si="0"/>
        <v>75</v>
      </c>
      <c r="T22" s="62">
        <f t="shared" si="1"/>
        <v>12.825000000000001</v>
      </c>
      <c r="U22" s="62">
        <f t="shared" si="2"/>
        <v>3.75</v>
      </c>
      <c r="V22" s="62">
        <f t="shared" si="3"/>
        <v>3.75</v>
      </c>
      <c r="W22" s="43">
        <v>0</v>
      </c>
      <c r="X22" s="43">
        <f t="shared" si="4"/>
        <v>95.325000000000003</v>
      </c>
      <c r="Y22" s="43">
        <f t="shared" si="5"/>
        <v>654.67499999999995</v>
      </c>
      <c r="Z22" s="44"/>
      <c r="AB22" s="45"/>
    </row>
    <row r="23" spans="1:28" ht="22.5" customHeight="1">
      <c r="A23" s="57">
        <v>13</v>
      </c>
      <c r="B23" s="21" t="s">
        <v>257</v>
      </c>
      <c r="C23" s="21" t="s">
        <v>258</v>
      </c>
      <c r="D23" s="20"/>
      <c r="E23" s="22"/>
      <c r="F23" s="30" t="s">
        <v>73</v>
      </c>
      <c r="G23" s="59">
        <v>45689</v>
      </c>
      <c r="H23" s="14">
        <v>5</v>
      </c>
      <c r="I23" s="209"/>
      <c r="J23" s="14">
        <v>30</v>
      </c>
      <c r="K23" s="62">
        <v>2600</v>
      </c>
      <c r="L23" s="62"/>
      <c r="M23" s="62"/>
      <c r="N23" s="62">
        <v>150.02000000000001</v>
      </c>
      <c r="O23" s="62">
        <v>150.02000000000001</v>
      </c>
      <c r="P23" s="62">
        <v>150.02000000000001</v>
      </c>
      <c r="Q23" s="43">
        <v>0</v>
      </c>
      <c r="R23" s="62">
        <f t="shared" si="6"/>
        <v>450.06000000000006</v>
      </c>
      <c r="S23" s="62">
        <f t="shared" si="0"/>
        <v>45.006000000000007</v>
      </c>
      <c r="T23" s="62">
        <f t="shared" si="1"/>
        <v>7.6960260000000016</v>
      </c>
      <c r="U23" s="62">
        <f t="shared" si="2"/>
        <v>2.2503000000000002</v>
      </c>
      <c r="V23" s="62">
        <f t="shared" si="3"/>
        <v>2.2503000000000002</v>
      </c>
      <c r="W23" s="43">
        <v>0</v>
      </c>
      <c r="X23" s="43">
        <f t="shared" si="4"/>
        <v>57.202626000000016</v>
      </c>
      <c r="Y23" s="43">
        <f t="shared" si="5"/>
        <v>392.85737400000005</v>
      </c>
      <c r="Z23" s="44"/>
      <c r="AB23" s="45"/>
    </row>
    <row r="24" spans="1:28" ht="22.5" customHeight="1">
      <c r="A24" s="57">
        <v>14</v>
      </c>
      <c r="B24" s="41" t="s">
        <v>45</v>
      </c>
      <c r="C24" s="41" t="s">
        <v>46</v>
      </c>
      <c r="D24" s="42"/>
      <c r="E24" s="14"/>
      <c r="F24" s="41" t="s">
        <v>47</v>
      </c>
      <c r="G24" s="30">
        <v>45677</v>
      </c>
      <c r="H24" s="63">
        <v>6</v>
      </c>
      <c r="I24" s="64"/>
      <c r="J24" s="14">
        <v>30</v>
      </c>
      <c r="K24" s="62">
        <v>3325</v>
      </c>
      <c r="L24" s="62"/>
      <c r="M24" s="62">
        <v>64.349999999999994</v>
      </c>
      <c r="N24" s="62">
        <f>K24*5%</f>
        <v>166.25</v>
      </c>
      <c r="O24" s="62">
        <f>K24*5%</f>
        <v>166.25</v>
      </c>
      <c r="P24" s="62">
        <f>K24*5%</f>
        <v>166.25</v>
      </c>
      <c r="Q24" s="43">
        <v>0</v>
      </c>
      <c r="R24" s="62">
        <f t="shared" si="6"/>
        <v>563.1</v>
      </c>
      <c r="S24" s="62">
        <f t="shared" si="0"/>
        <v>56.31</v>
      </c>
      <c r="T24" s="62">
        <f t="shared" si="1"/>
        <v>9.629010000000001</v>
      </c>
      <c r="U24" s="62">
        <f t="shared" si="2"/>
        <v>2.8155000000000001</v>
      </c>
      <c r="V24" s="62">
        <f t="shared" si="3"/>
        <v>2.8155000000000001</v>
      </c>
      <c r="W24" s="43">
        <v>0</v>
      </c>
      <c r="X24" s="43">
        <f t="shared" si="4"/>
        <v>71.570009999999996</v>
      </c>
      <c r="Y24" s="43">
        <f>+R24-X24</f>
        <v>491.52999</v>
      </c>
      <c r="Z24" s="44"/>
      <c r="AB24" s="108"/>
    </row>
    <row r="25" spans="1:28" ht="22.5" customHeight="1">
      <c r="A25" s="57">
        <v>15</v>
      </c>
      <c r="B25" s="41" t="s">
        <v>31</v>
      </c>
      <c r="C25" s="41" t="s">
        <v>62</v>
      </c>
      <c r="D25" s="42"/>
      <c r="E25" s="14"/>
      <c r="F25" s="41" t="s">
        <v>32</v>
      </c>
      <c r="G25" s="59">
        <v>45689</v>
      </c>
      <c r="H25" s="40">
        <v>5</v>
      </c>
      <c r="J25" s="15">
        <v>30</v>
      </c>
      <c r="K25" s="38">
        <v>2724.85</v>
      </c>
      <c r="L25" s="62"/>
      <c r="M25" s="62"/>
      <c r="N25" s="62">
        <f>K25*5%</f>
        <v>136.24250000000001</v>
      </c>
      <c r="O25" s="62">
        <f>K25*5%</f>
        <v>136.24250000000001</v>
      </c>
      <c r="P25" s="62">
        <f>K25*5%</f>
        <v>136.24250000000001</v>
      </c>
      <c r="Q25" s="43">
        <v>0</v>
      </c>
      <c r="R25" s="62">
        <f t="shared" si="6"/>
        <v>408.72750000000002</v>
      </c>
      <c r="S25" s="62">
        <f t="shared" si="0"/>
        <v>40.872750000000003</v>
      </c>
      <c r="T25" s="62">
        <f t="shared" si="1"/>
        <v>6.9892402500000008</v>
      </c>
      <c r="U25" s="62">
        <f t="shared" si="2"/>
        <v>2.0436375</v>
      </c>
      <c r="V25" s="62">
        <f t="shared" si="3"/>
        <v>2.0436375</v>
      </c>
      <c r="W25" s="43">
        <v>0</v>
      </c>
      <c r="X25" s="43">
        <f t="shared" si="4"/>
        <v>51.94926525000001</v>
      </c>
      <c r="Y25" s="43">
        <f t="shared" si="5"/>
        <v>356.77823475000002</v>
      </c>
      <c r="Z25" s="44"/>
      <c r="AB25" s="45"/>
    </row>
    <row r="26" spans="1:28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45689</v>
      </c>
      <c r="H26" s="63">
        <v>5</v>
      </c>
      <c r="I26" s="64"/>
      <c r="J26" s="14">
        <v>30</v>
      </c>
      <c r="K26" s="62">
        <v>2500</v>
      </c>
      <c r="L26" s="62"/>
      <c r="M26" s="62"/>
      <c r="N26" s="62">
        <f>K26*10%</f>
        <v>250</v>
      </c>
      <c r="O26" s="62">
        <f>K26*10%</f>
        <v>250</v>
      </c>
      <c r="P26" s="62">
        <f>K26*10%</f>
        <v>250</v>
      </c>
      <c r="Q26" s="43">
        <v>0</v>
      </c>
      <c r="R26" s="62">
        <f t="shared" si="6"/>
        <v>750</v>
      </c>
      <c r="S26" s="62">
        <f t="shared" si="0"/>
        <v>75</v>
      </c>
      <c r="T26" s="62">
        <f t="shared" si="1"/>
        <v>12.825000000000001</v>
      </c>
      <c r="U26" s="62">
        <f t="shared" si="2"/>
        <v>3.75</v>
      </c>
      <c r="V26" s="62">
        <f t="shared" si="3"/>
        <v>3.75</v>
      </c>
      <c r="W26" s="43">
        <v>0</v>
      </c>
      <c r="X26" s="43">
        <f t="shared" si="4"/>
        <v>95.325000000000003</v>
      </c>
      <c r="Y26" s="43">
        <f t="shared" si="5"/>
        <v>654.67499999999995</v>
      </c>
      <c r="Z26" s="44"/>
      <c r="AB26" s="45"/>
    </row>
    <row r="27" spans="1:28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45689</v>
      </c>
      <c r="H27" s="40">
        <v>5</v>
      </c>
      <c r="J27" s="15">
        <v>30</v>
      </c>
      <c r="K27" s="38">
        <v>2500</v>
      </c>
      <c r="L27" s="62"/>
      <c r="M27" s="62"/>
      <c r="N27" s="62">
        <f t="shared" ref="N27:N28" si="7">K27*10%</f>
        <v>250</v>
      </c>
      <c r="O27" s="62">
        <f t="shared" ref="O27:O28" si="8">K27*10%</f>
        <v>250</v>
      </c>
      <c r="P27" s="62">
        <f t="shared" ref="P27:P28" si="9">K27*10%</f>
        <v>250</v>
      </c>
      <c r="Q27" s="43">
        <v>0</v>
      </c>
      <c r="R27" s="62">
        <f t="shared" si="6"/>
        <v>750</v>
      </c>
      <c r="S27" s="62">
        <f t="shared" si="0"/>
        <v>75</v>
      </c>
      <c r="T27" s="62">
        <f t="shared" si="1"/>
        <v>12.825000000000001</v>
      </c>
      <c r="U27" s="62">
        <f t="shared" si="2"/>
        <v>3.75</v>
      </c>
      <c r="V27" s="62">
        <f t="shared" si="3"/>
        <v>3.75</v>
      </c>
      <c r="W27" s="43">
        <v>0</v>
      </c>
      <c r="X27" s="43">
        <f t="shared" si="4"/>
        <v>95.325000000000003</v>
      </c>
      <c r="Y27" s="43">
        <f t="shared" si="5"/>
        <v>654.67499999999995</v>
      </c>
      <c r="Z27" s="44"/>
      <c r="AB27" s="45"/>
    </row>
    <row r="28" spans="1:28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45689</v>
      </c>
      <c r="H28" s="40">
        <v>5</v>
      </c>
      <c r="J28" s="15">
        <v>30</v>
      </c>
      <c r="K28" s="38">
        <v>2500</v>
      </c>
      <c r="L28" s="62"/>
      <c r="M28" s="62"/>
      <c r="N28" s="62">
        <f t="shared" si="7"/>
        <v>250</v>
      </c>
      <c r="O28" s="62">
        <f t="shared" si="8"/>
        <v>250</v>
      </c>
      <c r="P28" s="62">
        <f t="shared" si="9"/>
        <v>250</v>
      </c>
      <c r="Q28" s="43">
        <v>0</v>
      </c>
      <c r="R28" s="62">
        <f t="shared" si="6"/>
        <v>750</v>
      </c>
      <c r="S28" s="62">
        <f t="shared" si="0"/>
        <v>75</v>
      </c>
      <c r="T28" s="62">
        <f t="shared" si="1"/>
        <v>12.825000000000001</v>
      </c>
      <c r="U28" s="62">
        <f t="shared" si="2"/>
        <v>3.75</v>
      </c>
      <c r="V28" s="62">
        <f t="shared" si="3"/>
        <v>3.75</v>
      </c>
      <c r="W28" s="43">
        <v>0</v>
      </c>
      <c r="X28" s="43">
        <f t="shared" si="4"/>
        <v>95.325000000000003</v>
      </c>
      <c r="Y28" s="43">
        <f t="shared" si="5"/>
        <v>654.67499999999995</v>
      </c>
      <c r="Z28" s="44"/>
      <c r="AB28" s="45"/>
    </row>
    <row r="29" spans="1:28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45689</v>
      </c>
      <c r="H29" s="40">
        <v>5</v>
      </c>
      <c r="J29" s="15">
        <v>30</v>
      </c>
      <c r="K29" s="38">
        <v>2546.16</v>
      </c>
      <c r="L29" s="62"/>
      <c r="M29" s="62"/>
      <c r="N29" s="62">
        <f>K29*8.01%</f>
        <v>203.947416</v>
      </c>
      <c r="O29" s="62">
        <f>K29*8.01%</f>
        <v>203.947416</v>
      </c>
      <c r="P29" s="62">
        <f>K29*8.01%</f>
        <v>203.947416</v>
      </c>
      <c r="Q29" s="43">
        <v>0</v>
      </c>
      <c r="R29" s="62">
        <f t="shared" si="6"/>
        <v>611.84224800000004</v>
      </c>
      <c r="S29" s="62">
        <f t="shared" si="0"/>
        <v>61.18422480000001</v>
      </c>
      <c r="T29" s="62">
        <f t="shared" si="1"/>
        <v>10.462502440800002</v>
      </c>
      <c r="U29" s="62">
        <f t="shared" si="2"/>
        <v>3.0592112400000002</v>
      </c>
      <c r="V29" s="62">
        <f t="shared" si="3"/>
        <v>3.0592112400000002</v>
      </c>
      <c r="W29" s="43">
        <v>0</v>
      </c>
      <c r="X29" s="43">
        <f t="shared" si="4"/>
        <v>77.765149720799997</v>
      </c>
      <c r="Y29" s="43">
        <f t="shared" si="5"/>
        <v>534.07709827920007</v>
      </c>
      <c r="Z29" s="44"/>
      <c r="AB29" s="45"/>
    </row>
    <row r="30" spans="1:28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59">
        <v>45689</v>
      </c>
      <c r="H30" s="40">
        <v>4</v>
      </c>
      <c r="I30" s="76"/>
      <c r="J30" s="75">
        <v>30</v>
      </c>
      <c r="K30" s="68">
        <v>2500</v>
      </c>
      <c r="L30" s="69"/>
      <c r="M30" s="69"/>
      <c r="N30" s="69">
        <f>K30*10%</f>
        <v>250</v>
      </c>
      <c r="O30" s="69">
        <f>K30*10%</f>
        <v>250</v>
      </c>
      <c r="P30" s="69">
        <f>K30*10%</f>
        <v>250</v>
      </c>
      <c r="Q30" s="43">
        <v>0</v>
      </c>
      <c r="R30" s="62">
        <f t="shared" si="6"/>
        <v>750</v>
      </c>
      <c r="S30" s="62">
        <f t="shared" si="0"/>
        <v>75</v>
      </c>
      <c r="T30" s="62">
        <f t="shared" si="1"/>
        <v>12.825000000000001</v>
      </c>
      <c r="U30" s="62">
        <f t="shared" si="2"/>
        <v>3.75</v>
      </c>
      <c r="V30" s="62">
        <f t="shared" si="3"/>
        <v>3.75</v>
      </c>
      <c r="W30" s="43">
        <v>0</v>
      </c>
      <c r="X30" s="43">
        <f t="shared" si="4"/>
        <v>95.325000000000003</v>
      </c>
      <c r="Y30" s="43">
        <f t="shared" si="5"/>
        <v>654.67499999999995</v>
      </c>
      <c r="Z30" s="44"/>
      <c r="AB30" s="45"/>
    </row>
    <row r="31" spans="1:28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59">
        <v>45689</v>
      </c>
      <c r="H31" s="40">
        <v>5</v>
      </c>
      <c r="I31" s="76"/>
      <c r="J31" s="75">
        <v>30</v>
      </c>
      <c r="K31" s="68">
        <v>2500</v>
      </c>
      <c r="L31" s="69"/>
      <c r="M31" s="69"/>
      <c r="N31" s="69">
        <f>K31*10%</f>
        <v>250</v>
      </c>
      <c r="O31" s="69">
        <f>K31*10%</f>
        <v>250</v>
      </c>
      <c r="P31" s="69">
        <f>K31*10%</f>
        <v>250</v>
      </c>
      <c r="Q31" s="43">
        <v>0</v>
      </c>
      <c r="R31" s="62">
        <f t="shared" si="6"/>
        <v>750</v>
      </c>
      <c r="S31" s="62">
        <f t="shared" si="0"/>
        <v>75</v>
      </c>
      <c r="T31" s="62">
        <f t="shared" si="1"/>
        <v>12.825000000000001</v>
      </c>
      <c r="U31" s="62">
        <f t="shared" si="2"/>
        <v>3.75</v>
      </c>
      <c r="V31" s="62">
        <f t="shared" si="3"/>
        <v>3.75</v>
      </c>
      <c r="W31" s="43">
        <v>0</v>
      </c>
      <c r="X31" s="43">
        <f t="shared" si="4"/>
        <v>95.325000000000003</v>
      </c>
      <c r="Y31" s="43">
        <f t="shared" si="5"/>
        <v>654.67499999999995</v>
      </c>
      <c r="Z31" s="44"/>
      <c r="AB31" s="45"/>
    </row>
    <row r="32" spans="1:28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60104.869999999995</v>
      </c>
      <c r="L32" s="32"/>
      <c r="M32" s="32">
        <f>SUM(M11:M31)</f>
        <v>64.349999999999994</v>
      </c>
      <c r="N32" s="32">
        <f>SUM(N11:N31)</f>
        <v>4115.1981079999996</v>
      </c>
      <c r="O32" s="32">
        <f>SUM(O11:O31)</f>
        <v>4115.1981079999996</v>
      </c>
      <c r="P32" s="32">
        <f>SUM(P11:P31)</f>
        <v>4115.1981079999996</v>
      </c>
      <c r="Q32" s="32">
        <f>SUM(Q16:Q29)</f>
        <v>0</v>
      </c>
      <c r="R32" s="32">
        <f>SUM(R11:R31)</f>
        <v>12409.944324</v>
      </c>
      <c r="S32" s="32">
        <f>SUM(S11:S31)</f>
        <v>1240.9944324000001</v>
      </c>
      <c r="T32" s="32">
        <f>SUM(T11:T31)</f>
        <v>212.21004794039993</v>
      </c>
      <c r="U32" s="32">
        <f>SUM(U11:U31)</f>
        <v>62.049721620000014</v>
      </c>
      <c r="V32" s="32">
        <f>SUM(V11:V31)</f>
        <v>62.049721620000014</v>
      </c>
      <c r="W32" s="32">
        <f>SUM(W16:W31)</f>
        <v>0</v>
      </c>
      <c r="X32" s="32">
        <f>SUM(X11:X31)</f>
        <v>1577.3039235804004</v>
      </c>
      <c r="Y32" s="32">
        <f>SUM(Y11:Y31)</f>
        <v>10832.640400419597</v>
      </c>
      <c r="Z32" s="19"/>
    </row>
    <row r="33" spans="1:30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s="23">
        <f>SUM(X32:X32)</f>
        <v>1577.3039235804004</v>
      </c>
      <c r="Y33" s="23"/>
    </row>
    <row r="34" spans="1:30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/>
      <c r="O34"/>
      <c r="P34"/>
      <c r="Q34"/>
      <c r="R34" s="46"/>
      <c r="S34"/>
      <c r="T34"/>
      <c r="U34"/>
      <c r="V34"/>
      <c r="W34"/>
      <c r="X34"/>
      <c r="Y34"/>
      <c r="Z34"/>
      <c r="AC34"/>
      <c r="AD34"/>
    </row>
    <row r="35" spans="1:30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30" s="18" customFormat="1">
      <c r="A36"/>
      <c r="B36"/>
      <c r="C36"/>
      <c r="D36"/>
      <c r="E36" s="9"/>
      <c r="F36"/>
      <c r="G36"/>
      <c r="H36"/>
      <c r="I36"/>
      <c r="J36"/>
      <c r="K36" t="s">
        <v>271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41" spans="1:30">
      <c r="C41" s="46">
        <f>R32</f>
        <v>12409.944324</v>
      </c>
    </row>
    <row r="42" spans="1:30">
      <c r="C42" s="46">
        <v>13235.49</v>
      </c>
    </row>
    <row r="43" spans="1:30">
      <c r="C43" s="46">
        <f>SUM(C41:C42)</f>
        <v>25645.434324000002</v>
      </c>
    </row>
    <row r="46" spans="1:30">
      <c r="C46" s="219">
        <f>R32*10%</f>
        <v>1240.9944324000001</v>
      </c>
      <c r="F46" t="s">
        <v>264</v>
      </c>
    </row>
    <row r="49" spans="3:6">
      <c r="C49" s="202">
        <f>C43*13.92%</f>
        <v>3569.8444579008001</v>
      </c>
      <c r="F49" s="203" t="s">
        <v>265</v>
      </c>
    </row>
    <row r="50" spans="3:6">
      <c r="C50" s="202">
        <f>C43*2%</f>
        <v>512.90868648000003</v>
      </c>
      <c r="F50" s="204">
        <v>0.02</v>
      </c>
    </row>
    <row r="51" spans="3:6">
      <c r="C51" s="202">
        <f>C43*3.5%</f>
        <v>897.59020134000014</v>
      </c>
      <c r="F51" s="203">
        <v>3.5000000000000003E-2</v>
      </c>
    </row>
    <row r="52" spans="3:6">
      <c r="C52" s="202">
        <f>C43*0.5%</f>
        <v>128.22717162000001</v>
      </c>
      <c r="F52" s="203">
        <v>5.0000000000000001E-3</v>
      </c>
    </row>
    <row r="53" spans="3:6">
      <c r="C53" s="220">
        <f>SUM(C49:C52)</f>
        <v>5108.5705173408005</v>
      </c>
    </row>
    <row r="56" spans="3:6" ht="15.75" thickBot="1">
      <c r="C56" s="221">
        <f>C46+C53</f>
        <v>6349.5649497408003</v>
      </c>
      <c r="F56" t="s">
        <v>266</v>
      </c>
    </row>
    <row r="57" spans="3:6" ht="15.75" thickTop="1"/>
  </sheetData>
  <mergeCells count="17">
    <mergeCell ref="X8:X10"/>
    <mergeCell ref="Y8:Y10"/>
    <mergeCell ref="A4:Z4"/>
    <mergeCell ref="A5:Z5"/>
    <mergeCell ref="A6:Z6"/>
    <mergeCell ref="A8:A10"/>
    <mergeCell ref="B8:B10"/>
    <mergeCell ref="C8:C10"/>
    <mergeCell ref="D8:D10"/>
    <mergeCell ref="E8:E10"/>
    <mergeCell ref="F8:F10"/>
    <mergeCell ref="G8:G10"/>
    <mergeCell ref="Z8:Z10"/>
    <mergeCell ref="K8:K10"/>
    <mergeCell ref="Q8:Q10"/>
    <mergeCell ref="R8:R10"/>
    <mergeCell ref="S8:W8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Z57"/>
  <sheetViews>
    <sheetView tabSelected="1" topLeftCell="A8" workbookViewId="0">
      <selection activeCell="G25" sqref="G25"/>
    </sheetView>
  </sheetViews>
  <sheetFormatPr baseColWidth="10" defaultRowHeight="15"/>
  <cols>
    <col min="1" max="1" width="3.140625" customWidth="1"/>
    <col min="2" max="2" width="10.85546875" customWidth="1"/>
    <col min="3" max="3" width="32.28515625" customWidth="1"/>
    <col min="4" max="4" width="11.42578125" hidden="1" customWidth="1"/>
    <col min="5" max="5" width="4" style="9" hidden="1" customWidth="1"/>
    <col min="6" max="6" width="18" customWidth="1"/>
    <col min="7" max="7" width="10" customWidth="1"/>
    <col min="8" max="8" width="8.28515625" customWidth="1"/>
    <col min="9" max="9" width="0.140625" hidden="1" customWidth="1"/>
    <col min="10" max="10" width="5.140625" customWidth="1"/>
    <col min="11" max="11" width="9.28515625" customWidth="1"/>
    <col min="12" max="12" width="9.28515625" hidden="1" customWidth="1"/>
    <col min="13" max="13" width="7" customWidth="1"/>
    <col min="14" max="14" width="9" customWidth="1"/>
    <col min="15" max="15" width="8.42578125" customWidth="1"/>
    <col min="16" max="16" width="8" customWidth="1"/>
    <col min="17" max="17" width="7.28515625" customWidth="1"/>
    <col min="18" max="18" width="6.7109375" customWidth="1"/>
    <col min="19" max="19" width="6.140625" customWidth="1"/>
    <col min="20" max="20" width="9.7109375" customWidth="1"/>
    <col min="21" max="21" width="9.28515625" customWidth="1"/>
    <col min="22" max="22" width="20.5703125" customWidth="1"/>
    <col min="23" max="24" width="11.42578125" style="18" customWidth="1"/>
  </cols>
  <sheetData>
    <row r="1" spans="1:24" ht="15.75">
      <c r="A1" s="2" t="s">
        <v>74</v>
      </c>
      <c r="B1" s="1"/>
      <c r="C1" s="1"/>
      <c r="D1" s="1"/>
      <c r="E1" s="4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51"/>
      <c r="U1" s="1"/>
      <c r="V1" s="129" t="s">
        <v>33</v>
      </c>
      <c r="W1" s="51"/>
    </row>
    <row r="2" spans="1:24">
      <c r="A2" s="2" t="s">
        <v>0</v>
      </c>
      <c r="B2" s="1"/>
      <c r="C2" s="1"/>
      <c r="D2" s="1"/>
      <c r="E2" s="4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51"/>
      <c r="U2" s="51"/>
      <c r="V2" s="51"/>
      <c r="W2" s="17"/>
    </row>
    <row r="3" spans="1:24">
      <c r="A3" s="2" t="s">
        <v>1</v>
      </c>
      <c r="B3" s="1"/>
      <c r="C3" s="1"/>
      <c r="D3" s="1"/>
      <c r="E3" s="4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1"/>
      <c r="S3" s="1"/>
      <c r="T3" s="2"/>
      <c r="U3" s="1"/>
      <c r="V3" s="1"/>
      <c r="W3" s="17"/>
    </row>
    <row r="4" spans="1:24" s="26" customFormat="1" ht="12" customHeight="1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7"/>
      <c r="X4" s="27"/>
    </row>
    <row r="5" spans="1:24" s="26" customFormat="1" ht="21.75" customHeight="1">
      <c r="A5" s="245" t="s">
        <v>48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7"/>
      <c r="X5" s="27"/>
    </row>
    <row r="6" spans="1:24" s="26" customFormat="1" ht="19.5" customHeight="1">
      <c r="A6" s="245" t="s">
        <v>272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7"/>
      <c r="X6" s="27"/>
    </row>
    <row r="7" spans="1:24" ht="0.75" hidden="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/>
      <c r="N7" s="6"/>
      <c r="O7" s="4"/>
      <c r="P7" s="4"/>
      <c r="Q7" s="4"/>
      <c r="R7" s="4"/>
      <c r="S7" s="4"/>
      <c r="T7" s="4"/>
      <c r="W7" s="7">
        <v>42399</v>
      </c>
      <c r="X7" s="8">
        <v>1656</v>
      </c>
    </row>
    <row r="8" spans="1:24" ht="18.75" customHeight="1">
      <c r="A8" s="238" t="s">
        <v>3</v>
      </c>
      <c r="B8" s="234" t="s">
        <v>4</v>
      </c>
      <c r="C8" s="238" t="s">
        <v>5</v>
      </c>
      <c r="D8" s="234" t="s">
        <v>6</v>
      </c>
      <c r="E8" s="234" t="s">
        <v>7</v>
      </c>
      <c r="F8" s="234" t="s">
        <v>8</v>
      </c>
      <c r="G8" s="234" t="s">
        <v>9</v>
      </c>
      <c r="H8" s="24"/>
      <c r="I8" s="24"/>
      <c r="J8" s="28" t="s">
        <v>10</v>
      </c>
      <c r="K8" s="234" t="s">
        <v>39</v>
      </c>
      <c r="L8" s="228"/>
      <c r="M8" s="234" t="s">
        <v>11</v>
      </c>
      <c r="N8" s="234" t="s">
        <v>12</v>
      </c>
      <c r="O8" s="231" t="s">
        <v>13</v>
      </c>
      <c r="P8" s="232"/>
      <c r="Q8" s="232"/>
      <c r="R8" s="232"/>
      <c r="S8" s="233"/>
      <c r="T8" s="234" t="s">
        <v>75</v>
      </c>
      <c r="U8" s="234" t="s">
        <v>27</v>
      </c>
      <c r="V8" s="234" t="s">
        <v>14</v>
      </c>
    </row>
    <row r="9" spans="1:24" ht="21.75" customHeight="1">
      <c r="A9" s="239"/>
      <c r="B9" s="235"/>
      <c r="C9" s="239"/>
      <c r="D9" s="235"/>
      <c r="E9" s="235"/>
      <c r="F9" s="235"/>
      <c r="G9" s="235"/>
      <c r="H9" s="24" t="s">
        <v>58</v>
      </c>
      <c r="I9" s="24"/>
      <c r="J9" s="230" t="s">
        <v>15</v>
      </c>
      <c r="K9" s="235"/>
      <c r="L9" s="229" t="s">
        <v>87</v>
      </c>
      <c r="M9" s="235"/>
      <c r="N9" s="235"/>
      <c r="O9" s="25" t="s">
        <v>26</v>
      </c>
      <c r="P9" s="24" t="s">
        <v>25</v>
      </c>
      <c r="Q9" s="24" t="s">
        <v>23</v>
      </c>
      <c r="R9" s="24" t="s">
        <v>24</v>
      </c>
      <c r="S9" s="25" t="s">
        <v>16</v>
      </c>
      <c r="T9" s="235"/>
      <c r="U9" s="235"/>
      <c r="V9" s="235"/>
    </row>
    <row r="10" spans="1:24" ht="18.75" customHeight="1">
      <c r="A10" s="240"/>
      <c r="B10" s="236"/>
      <c r="C10" s="240"/>
      <c r="D10" s="236"/>
      <c r="E10" s="236"/>
      <c r="F10" s="236"/>
      <c r="G10" s="236"/>
      <c r="H10" s="24" t="s">
        <v>59</v>
      </c>
      <c r="I10" s="24"/>
      <c r="J10" s="29" t="s">
        <v>17</v>
      </c>
      <c r="K10" s="236"/>
      <c r="L10" s="229"/>
      <c r="M10" s="236"/>
      <c r="N10" s="236"/>
      <c r="O10" s="11">
        <v>0.1</v>
      </c>
      <c r="P10" s="10">
        <v>1.7100000000000001E-2</v>
      </c>
      <c r="Q10" s="12">
        <v>5.0000000000000001E-3</v>
      </c>
      <c r="R10" s="13">
        <v>5.0000000000000001E-3</v>
      </c>
      <c r="S10" s="11">
        <v>0.13</v>
      </c>
      <c r="T10" s="236"/>
      <c r="U10" s="236"/>
      <c r="V10" s="236"/>
    </row>
    <row r="11" spans="1:24" ht="22.5" customHeight="1">
      <c r="A11" s="57">
        <v>1</v>
      </c>
      <c r="B11" s="56" t="s">
        <v>99</v>
      </c>
      <c r="C11" s="66" t="s">
        <v>122</v>
      </c>
      <c r="D11" s="55"/>
      <c r="E11" s="55"/>
      <c r="F11" s="67" t="s">
        <v>100</v>
      </c>
      <c r="G11" s="59">
        <v>45689</v>
      </c>
      <c r="H11" s="14">
        <v>5</v>
      </c>
      <c r="I11" s="45"/>
      <c r="J11" s="58">
        <v>30</v>
      </c>
      <c r="K11" s="62">
        <v>2750.1</v>
      </c>
      <c r="L11" s="60"/>
      <c r="M11" s="43">
        <v>0</v>
      </c>
      <c r="N11" s="62">
        <f t="shared" ref="N11:N31" si="0">K11+M11</f>
        <v>2750.1</v>
      </c>
      <c r="O11" s="62">
        <f t="shared" ref="O11:O31" si="1">+N11*0.1</f>
        <v>275.01</v>
      </c>
      <c r="P11" s="62">
        <f t="shared" ref="P11:P31" si="2">+N11*0.0171</f>
        <v>47.026710000000001</v>
      </c>
      <c r="Q11" s="62">
        <f t="shared" ref="Q11:Q31" si="3">+N11*0.005</f>
        <v>13.750500000000001</v>
      </c>
      <c r="R11" s="62">
        <f t="shared" ref="R11:R31" si="4">N11*0.5%</f>
        <v>13.750500000000001</v>
      </c>
      <c r="S11" s="43">
        <v>0</v>
      </c>
      <c r="T11" s="43">
        <f t="shared" ref="T11:T31" si="5">+O11+P11+Q11+R11+S11</f>
        <v>349.53770999999995</v>
      </c>
      <c r="U11" s="43">
        <f t="shared" ref="U11:U31" si="6">+N11-T11</f>
        <v>2400.5622899999998</v>
      </c>
      <c r="V11" s="55"/>
    </row>
    <row r="12" spans="1:24" ht="22.5" customHeight="1">
      <c r="A12" s="57">
        <v>2</v>
      </c>
      <c r="B12" s="56" t="s">
        <v>250</v>
      </c>
      <c r="C12" s="66" t="s">
        <v>251</v>
      </c>
      <c r="D12" s="55"/>
      <c r="E12" s="55"/>
      <c r="F12" s="123" t="s">
        <v>252</v>
      </c>
      <c r="G12" s="59">
        <v>45689</v>
      </c>
      <c r="H12" s="14">
        <v>5</v>
      </c>
      <c r="I12" s="45"/>
      <c r="J12" s="58">
        <v>30</v>
      </c>
      <c r="K12" s="62">
        <v>3150</v>
      </c>
      <c r="L12" s="60"/>
      <c r="M12" s="43">
        <v>0</v>
      </c>
      <c r="N12" s="62">
        <f t="shared" si="0"/>
        <v>3150</v>
      </c>
      <c r="O12" s="62">
        <f t="shared" si="1"/>
        <v>315</v>
      </c>
      <c r="P12" s="62">
        <f t="shared" si="2"/>
        <v>53.865000000000002</v>
      </c>
      <c r="Q12" s="62">
        <f t="shared" si="3"/>
        <v>15.75</v>
      </c>
      <c r="R12" s="62">
        <f t="shared" si="4"/>
        <v>15.75</v>
      </c>
      <c r="S12" s="43">
        <v>0</v>
      </c>
      <c r="T12" s="43">
        <f t="shared" si="5"/>
        <v>400.36500000000001</v>
      </c>
      <c r="U12" s="43">
        <f t="shared" si="6"/>
        <v>2749.6350000000002</v>
      </c>
      <c r="V12" s="55"/>
    </row>
    <row r="13" spans="1:24" ht="22.5" customHeight="1">
      <c r="A13" s="57">
        <v>3</v>
      </c>
      <c r="B13" s="56" t="s">
        <v>228</v>
      </c>
      <c r="C13" s="66" t="s">
        <v>229</v>
      </c>
      <c r="D13" s="55"/>
      <c r="E13" s="55"/>
      <c r="F13" s="123" t="s">
        <v>253</v>
      </c>
      <c r="G13" s="59">
        <v>45689</v>
      </c>
      <c r="H13" s="14">
        <v>5</v>
      </c>
      <c r="I13" s="45"/>
      <c r="J13" s="58">
        <v>30</v>
      </c>
      <c r="K13" s="62">
        <v>3150</v>
      </c>
      <c r="L13" s="60"/>
      <c r="M13" s="43">
        <v>0</v>
      </c>
      <c r="N13" s="62">
        <f t="shared" si="0"/>
        <v>3150</v>
      </c>
      <c r="O13" s="62">
        <f t="shared" si="1"/>
        <v>315</v>
      </c>
      <c r="P13" s="62">
        <f t="shared" si="2"/>
        <v>53.865000000000002</v>
      </c>
      <c r="Q13" s="62">
        <f t="shared" si="3"/>
        <v>15.75</v>
      </c>
      <c r="R13" s="62">
        <f t="shared" si="4"/>
        <v>15.75</v>
      </c>
      <c r="S13" s="43">
        <v>0</v>
      </c>
      <c r="T13" s="43">
        <f t="shared" si="5"/>
        <v>400.36500000000001</v>
      </c>
      <c r="U13" s="43">
        <f t="shared" si="6"/>
        <v>2749.6350000000002</v>
      </c>
      <c r="V13" s="55"/>
    </row>
    <row r="14" spans="1:24" ht="22.5" customHeight="1">
      <c r="A14" s="57">
        <v>4</v>
      </c>
      <c r="B14" s="41" t="s">
        <v>67</v>
      </c>
      <c r="C14" s="41" t="s">
        <v>68</v>
      </c>
      <c r="D14" s="42"/>
      <c r="E14" s="14"/>
      <c r="F14" s="41" t="s">
        <v>32</v>
      </c>
      <c r="G14" s="59">
        <v>45323</v>
      </c>
      <c r="H14" s="63">
        <v>5</v>
      </c>
      <c r="I14" s="64"/>
      <c r="J14" s="14">
        <v>30</v>
      </c>
      <c r="K14" s="62">
        <v>2750.11</v>
      </c>
      <c r="L14" s="60"/>
      <c r="M14" s="43">
        <v>0</v>
      </c>
      <c r="N14" s="62">
        <f t="shared" si="0"/>
        <v>2750.11</v>
      </c>
      <c r="O14" s="62">
        <f t="shared" si="1"/>
        <v>275.01100000000002</v>
      </c>
      <c r="P14" s="62">
        <f t="shared" si="2"/>
        <v>47.026881000000003</v>
      </c>
      <c r="Q14" s="62">
        <f t="shared" si="3"/>
        <v>13.75055</v>
      </c>
      <c r="R14" s="62">
        <f t="shared" si="4"/>
        <v>13.75055</v>
      </c>
      <c r="S14" s="43">
        <v>0</v>
      </c>
      <c r="T14" s="43">
        <f t="shared" si="5"/>
        <v>349.53898099999998</v>
      </c>
      <c r="U14" s="43">
        <f t="shared" si="6"/>
        <v>2400.571019</v>
      </c>
      <c r="V14" s="55"/>
    </row>
    <row r="15" spans="1:24" ht="22.5" customHeight="1">
      <c r="A15" s="57">
        <v>5</v>
      </c>
      <c r="B15" s="41" t="s">
        <v>254</v>
      </c>
      <c r="C15" s="41" t="s">
        <v>255</v>
      </c>
      <c r="D15" s="42"/>
      <c r="E15" s="14"/>
      <c r="F15" s="41" t="s">
        <v>32</v>
      </c>
      <c r="G15" s="59">
        <v>45689</v>
      </c>
      <c r="H15" s="63">
        <v>5</v>
      </c>
      <c r="I15" s="64"/>
      <c r="J15" s="14">
        <v>30</v>
      </c>
      <c r="K15" s="62">
        <v>2750.11</v>
      </c>
      <c r="L15" s="60"/>
      <c r="M15" s="43">
        <v>0</v>
      </c>
      <c r="N15" s="62">
        <f t="shared" si="0"/>
        <v>2750.11</v>
      </c>
      <c r="O15" s="62">
        <f t="shared" si="1"/>
        <v>275.01100000000002</v>
      </c>
      <c r="P15" s="62">
        <f t="shared" si="2"/>
        <v>47.026881000000003</v>
      </c>
      <c r="Q15" s="62">
        <f t="shared" si="3"/>
        <v>13.75055</v>
      </c>
      <c r="R15" s="62">
        <f t="shared" si="4"/>
        <v>13.75055</v>
      </c>
      <c r="S15" s="43">
        <v>0</v>
      </c>
      <c r="T15" s="43">
        <f t="shared" si="5"/>
        <v>349.53898099999998</v>
      </c>
      <c r="U15" s="43">
        <f t="shared" si="6"/>
        <v>2400.571019</v>
      </c>
      <c r="V15" s="55"/>
    </row>
    <row r="16" spans="1:24" ht="22.5" customHeight="1">
      <c r="A16" s="57">
        <v>6</v>
      </c>
      <c r="B16" s="41" t="s">
        <v>44</v>
      </c>
      <c r="C16" s="41" t="s">
        <v>61</v>
      </c>
      <c r="D16" s="42"/>
      <c r="E16" s="14"/>
      <c r="F16" s="41" t="s">
        <v>49</v>
      </c>
      <c r="G16" s="59">
        <v>45689</v>
      </c>
      <c r="H16" s="63">
        <v>5</v>
      </c>
      <c r="I16" s="64"/>
      <c r="J16" s="14">
        <v>30</v>
      </c>
      <c r="K16" s="62">
        <v>4683</v>
      </c>
      <c r="L16" s="62"/>
      <c r="M16" s="43">
        <v>0</v>
      </c>
      <c r="N16" s="62">
        <f t="shared" si="0"/>
        <v>4683</v>
      </c>
      <c r="O16" s="62">
        <f t="shared" si="1"/>
        <v>468.3</v>
      </c>
      <c r="P16" s="62">
        <f t="shared" si="2"/>
        <v>80.079300000000003</v>
      </c>
      <c r="Q16" s="62">
        <f t="shared" si="3"/>
        <v>23.414999999999999</v>
      </c>
      <c r="R16" s="62">
        <f t="shared" si="4"/>
        <v>23.414999999999999</v>
      </c>
      <c r="S16" s="43">
        <v>0</v>
      </c>
      <c r="T16" s="43">
        <f t="shared" si="5"/>
        <v>595.20929999999998</v>
      </c>
      <c r="U16" s="43">
        <f t="shared" si="6"/>
        <v>4087.7907</v>
      </c>
      <c r="V16" s="44"/>
      <c r="X16" s="45"/>
    </row>
    <row r="17" spans="1:24" ht="22.5" customHeight="1">
      <c r="A17" s="57">
        <v>7</v>
      </c>
      <c r="B17" s="41" t="s">
        <v>79</v>
      </c>
      <c r="C17" s="41" t="s">
        <v>80</v>
      </c>
      <c r="D17" s="42"/>
      <c r="E17" s="14"/>
      <c r="F17" s="41" t="s">
        <v>148</v>
      </c>
      <c r="G17" s="59">
        <v>45689</v>
      </c>
      <c r="H17" s="40">
        <v>5</v>
      </c>
      <c r="J17" s="15">
        <v>30</v>
      </c>
      <c r="K17" s="38">
        <v>4608.45</v>
      </c>
      <c r="L17" s="62"/>
      <c r="M17" s="43">
        <v>0</v>
      </c>
      <c r="N17" s="62">
        <f t="shared" si="0"/>
        <v>4608.45</v>
      </c>
      <c r="O17" s="62">
        <f t="shared" si="1"/>
        <v>460.84500000000003</v>
      </c>
      <c r="P17" s="62">
        <f t="shared" si="2"/>
        <v>78.804495000000003</v>
      </c>
      <c r="Q17" s="62">
        <f t="shared" si="3"/>
        <v>23.042249999999999</v>
      </c>
      <c r="R17" s="62">
        <f t="shared" si="4"/>
        <v>23.042249999999999</v>
      </c>
      <c r="S17" s="43">
        <v>0</v>
      </c>
      <c r="T17" s="43">
        <f t="shared" si="5"/>
        <v>585.73399499999994</v>
      </c>
      <c r="U17" s="43">
        <f t="shared" si="6"/>
        <v>4022.7160049999998</v>
      </c>
      <c r="V17" s="44"/>
      <c r="X17" s="45"/>
    </row>
    <row r="18" spans="1:24" ht="22.5" customHeight="1">
      <c r="A18" s="57">
        <v>8</v>
      </c>
      <c r="B18" s="110" t="s">
        <v>19</v>
      </c>
      <c r="C18" s="110" t="s">
        <v>20</v>
      </c>
      <c r="D18" s="42"/>
      <c r="E18" s="14"/>
      <c r="F18" s="41" t="s">
        <v>178</v>
      </c>
      <c r="G18" s="59">
        <v>45689</v>
      </c>
      <c r="H18" s="40">
        <v>5</v>
      </c>
      <c r="J18" s="15">
        <v>30</v>
      </c>
      <c r="K18" s="38">
        <v>3173.86</v>
      </c>
      <c r="L18" s="62"/>
      <c r="M18" s="43">
        <v>0</v>
      </c>
      <c r="N18" s="62">
        <f t="shared" si="0"/>
        <v>3173.86</v>
      </c>
      <c r="O18" s="62">
        <f t="shared" si="1"/>
        <v>317.38600000000002</v>
      </c>
      <c r="P18" s="62">
        <f t="shared" si="2"/>
        <v>54.273006000000002</v>
      </c>
      <c r="Q18" s="62">
        <f t="shared" si="3"/>
        <v>15.869300000000001</v>
      </c>
      <c r="R18" s="62">
        <f t="shared" si="4"/>
        <v>15.869300000000001</v>
      </c>
      <c r="S18" s="43">
        <v>0</v>
      </c>
      <c r="T18" s="43">
        <f t="shared" si="5"/>
        <v>403.39760600000005</v>
      </c>
      <c r="U18" s="43">
        <f t="shared" si="6"/>
        <v>2770.4623940000001</v>
      </c>
      <c r="V18" s="44"/>
      <c r="X18" s="45"/>
    </row>
    <row r="19" spans="1:24" ht="22.5" customHeight="1">
      <c r="A19" s="57">
        <v>9</v>
      </c>
      <c r="B19" s="110" t="s">
        <v>101</v>
      </c>
      <c r="C19" s="110" t="s">
        <v>102</v>
      </c>
      <c r="D19" s="119"/>
      <c r="E19" s="120" t="s">
        <v>180</v>
      </c>
      <c r="F19" s="121" t="s">
        <v>103</v>
      </c>
      <c r="G19" s="59">
        <v>45689</v>
      </c>
      <c r="H19" s="40">
        <v>5</v>
      </c>
      <c r="J19" s="15">
        <v>30</v>
      </c>
      <c r="K19" s="38">
        <v>3317</v>
      </c>
      <c r="L19" s="62"/>
      <c r="M19" s="43">
        <v>0</v>
      </c>
      <c r="N19" s="62">
        <f t="shared" si="0"/>
        <v>3317</v>
      </c>
      <c r="O19" s="62">
        <f t="shared" si="1"/>
        <v>331.70000000000005</v>
      </c>
      <c r="P19" s="62">
        <f t="shared" si="2"/>
        <v>56.720700000000001</v>
      </c>
      <c r="Q19" s="62">
        <f t="shared" si="3"/>
        <v>16.585000000000001</v>
      </c>
      <c r="R19" s="62">
        <f t="shared" si="4"/>
        <v>16.585000000000001</v>
      </c>
      <c r="S19" s="43">
        <v>0</v>
      </c>
      <c r="T19" s="43">
        <f t="shared" si="5"/>
        <v>421.59070000000003</v>
      </c>
      <c r="U19" s="43">
        <f t="shared" si="6"/>
        <v>2895.4092999999998</v>
      </c>
      <c r="V19" s="44"/>
      <c r="X19" s="45"/>
    </row>
    <row r="20" spans="1:24" ht="22.5" customHeight="1">
      <c r="A20" s="57">
        <v>10</v>
      </c>
      <c r="B20" s="41" t="s">
        <v>105</v>
      </c>
      <c r="C20" s="41" t="s">
        <v>104</v>
      </c>
      <c r="D20" s="42"/>
      <c r="E20" s="14"/>
      <c r="F20" s="41" t="s">
        <v>32</v>
      </c>
      <c r="G20" s="59">
        <v>45689</v>
      </c>
      <c r="H20" s="40">
        <v>5</v>
      </c>
      <c r="J20" s="15">
        <v>30</v>
      </c>
      <c r="K20" s="38">
        <v>2750.11</v>
      </c>
      <c r="L20" s="62"/>
      <c r="M20" s="43">
        <v>0</v>
      </c>
      <c r="N20" s="62">
        <f t="shared" si="0"/>
        <v>2750.11</v>
      </c>
      <c r="O20" s="62">
        <f t="shared" si="1"/>
        <v>275.01100000000002</v>
      </c>
      <c r="P20" s="62">
        <f t="shared" si="2"/>
        <v>47.026881000000003</v>
      </c>
      <c r="Q20" s="62">
        <f t="shared" si="3"/>
        <v>13.75055</v>
      </c>
      <c r="R20" s="62">
        <f t="shared" si="4"/>
        <v>13.75055</v>
      </c>
      <c r="S20" s="43">
        <v>0</v>
      </c>
      <c r="T20" s="43">
        <f t="shared" si="5"/>
        <v>349.53898099999998</v>
      </c>
      <c r="U20" s="43">
        <f t="shared" si="6"/>
        <v>2400.571019</v>
      </c>
      <c r="V20" s="44"/>
      <c r="X20" s="45"/>
    </row>
    <row r="21" spans="1:24" ht="26.25" customHeight="1">
      <c r="A21" s="57">
        <v>11</v>
      </c>
      <c r="B21" s="110" t="s">
        <v>69</v>
      </c>
      <c r="C21" s="111" t="s">
        <v>70</v>
      </c>
      <c r="D21" s="127"/>
      <c r="E21" s="128" t="s">
        <v>199</v>
      </c>
      <c r="F21" s="208" t="s">
        <v>256</v>
      </c>
      <c r="G21" s="59">
        <v>45689</v>
      </c>
      <c r="H21" s="40">
        <v>5</v>
      </c>
      <c r="J21" s="15">
        <v>30</v>
      </c>
      <c r="K21" s="38">
        <v>2784.86</v>
      </c>
      <c r="L21" s="62"/>
      <c r="M21" s="43">
        <v>0</v>
      </c>
      <c r="N21" s="62">
        <f t="shared" si="0"/>
        <v>2784.86</v>
      </c>
      <c r="O21" s="62">
        <f t="shared" si="1"/>
        <v>278.48600000000005</v>
      </c>
      <c r="P21" s="62">
        <f t="shared" si="2"/>
        <v>47.621106000000005</v>
      </c>
      <c r="Q21" s="62">
        <f t="shared" si="3"/>
        <v>13.924300000000001</v>
      </c>
      <c r="R21" s="62">
        <f t="shared" si="4"/>
        <v>13.924300000000001</v>
      </c>
      <c r="S21" s="43">
        <v>0</v>
      </c>
      <c r="T21" s="43">
        <f t="shared" si="5"/>
        <v>353.95570600000008</v>
      </c>
      <c r="U21" s="43">
        <f t="shared" si="6"/>
        <v>2430.9042939999999</v>
      </c>
      <c r="V21" s="44"/>
      <c r="X21" s="45"/>
    </row>
    <row r="22" spans="1:24" ht="22.5" customHeight="1">
      <c r="A22" s="57">
        <v>12</v>
      </c>
      <c r="B22" s="21" t="s">
        <v>85</v>
      </c>
      <c r="C22" s="21" t="s">
        <v>86</v>
      </c>
      <c r="D22" s="20"/>
      <c r="E22" s="22" t="s">
        <v>40</v>
      </c>
      <c r="F22" s="30" t="s">
        <v>40</v>
      </c>
      <c r="G22" s="59">
        <v>45689</v>
      </c>
      <c r="H22" s="14">
        <v>5</v>
      </c>
      <c r="I22" s="43">
        <v>2122</v>
      </c>
      <c r="J22" s="14">
        <v>30</v>
      </c>
      <c r="K22" s="62">
        <v>2750</v>
      </c>
      <c r="L22" s="62"/>
      <c r="M22" s="43">
        <v>0</v>
      </c>
      <c r="N22" s="62">
        <f t="shared" si="0"/>
        <v>2750</v>
      </c>
      <c r="O22" s="62">
        <f t="shared" si="1"/>
        <v>275</v>
      </c>
      <c r="P22" s="62">
        <f t="shared" si="2"/>
        <v>47.024999999999999</v>
      </c>
      <c r="Q22" s="62">
        <f t="shared" si="3"/>
        <v>13.75</v>
      </c>
      <c r="R22" s="62">
        <f t="shared" si="4"/>
        <v>13.75</v>
      </c>
      <c r="S22" s="43">
        <v>0</v>
      </c>
      <c r="T22" s="43">
        <f t="shared" si="5"/>
        <v>349.52499999999998</v>
      </c>
      <c r="U22" s="43">
        <f t="shared" si="6"/>
        <v>2400.4749999999999</v>
      </c>
      <c r="V22" s="44"/>
      <c r="X22" s="45"/>
    </row>
    <row r="23" spans="1:24" ht="22.5" customHeight="1">
      <c r="A23" s="57">
        <v>13</v>
      </c>
      <c r="B23" s="21" t="s">
        <v>257</v>
      </c>
      <c r="C23" s="21" t="s">
        <v>258</v>
      </c>
      <c r="D23" s="20"/>
      <c r="E23" s="22"/>
      <c r="F23" s="30" t="s">
        <v>73</v>
      </c>
      <c r="G23" s="59">
        <v>45689</v>
      </c>
      <c r="H23" s="14">
        <v>5</v>
      </c>
      <c r="I23" s="209"/>
      <c r="J23" s="14">
        <v>30</v>
      </c>
      <c r="K23" s="62">
        <v>2750.02</v>
      </c>
      <c r="L23" s="62"/>
      <c r="M23" s="43">
        <v>0</v>
      </c>
      <c r="N23" s="62">
        <f t="shared" si="0"/>
        <v>2750.02</v>
      </c>
      <c r="O23" s="62">
        <f t="shared" si="1"/>
        <v>275.00200000000001</v>
      </c>
      <c r="P23" s="62">
        <f t="shared" si="2"/>
        <v>47.025342000000002</v>
      </c>
      <c r="Q23" s="62">
        <f t="shared" si="3"/>
        <v>13.7501</v>
      </c>
      <c r="R23" s="62">
        <f t="shared" si="4"/>
        <v>13.7501</v>
      </c>
      <c r="S23" s="43">
        <v>0</v>
      </c>
      <c r="T23" s="43">
        <f t="shared" si="5"/>
        <v>349.52754199999998</v>
      </c>
      <c r="U23" s="43">
        <f t="shared" si="6"/>
        <v>2400.4924580000002</v>
      </c>
      <c r="V23" s="44"/>
      <c r="X23" s="45"/>
    </row>
    <row r="24" spans="1:24" ht="22.5" customHeight="1">
      <c r="A24" s="57">
        <v>14</v>
      </c>
      <c r="B24" s="41" t="s">
        <v>45</v>
      </c>
      <c r="C24" s="41" t="s">
        <v>46</v>
      </c>
      <c r="D24" s="42"/>
      <c r="E24" s="14"/>
      <c r="F24" s="41" t="s">
        <v>47</v>
      </c>
      <c r="G24" s="30">
        <v>45677</v>
      </c>
      <c r="H24" s="63">
        <v>6</v>
      </c>
      <c r="I24" s="64"/>
      <c r="J24" s="14">
        <v>30</v>
      </c>
      <c r="K24" s="62">
        <v>3491.25</v>
      </c>
      <c r="L24" s="62"/>
      <c r="M24" s="43">
        <v>0</v>
      </c>
      <c r="N24" s="62">
        <f t="shared" si="0"/>
        <v>3491.25</v>
      </c>
      <c r="O24" s="62">
        <f t="shared" si="1"/>
        <v>349.125</v>
      </c>
      <c r="P24" s="62">
        <f t="shared" si="2"/>
        <v>59.700375000000001</v>
      </c>
      <c r="Q24" s="62">
        <f t="shared" si="3"/>
        <v>17.456250000000001</v>
      </c>
      <c r="R24" s="62">
        <f t="shared" si="4"/>
        <v>17.456250000000001</v>
      </c>
      <c r="S24" s="43">
        <v>0</v>
      </c>
      <c r="T24" s="43">
        <f t="shared" si="5"/>
        <v>443.73787500000003</v>
      </c>
      <c r="U24" s="43">
        <f>+N24-T24</f>
        <v>3047.5121250000002</v>
      </c>
      <c r="V24" s="44"/>
      <c r="X24" s="108"/>
    </row>
    <row r="25" spans="1:24" ht="22.5" customHeight="1">
      <c r="A25" s="57">
        <v>15</v>
      </c>
      <c r="B25" s="41" t="s">
        <v>31</v>
      </c>
      <c r="C25" s="41" t="s">
        <v>62</v>
      </c>
      <c r="D25" s="42"/>
      <c r="E25" s="14"/>
      <c r="F25" s="41" t="s">
        <v>32</v>
      </c>
      <c r="G25" s="59">
        <v>45689</v>
      </c>
      <c r="H25" s="40">
        <v>5</v>
      </c>
      <c r="J25" s="15">
        <v>30</v>
      </c>
      <c r="K25" s="38">
        <v>2861.09</v>
      </c>
      <c r="L25" s="62"/>
      <c r="M25" s="43">
        <v>0</v>
      </c>
      <c r="N25" s="62">
        <f t="shared" si="0"/>
        <v>2861.09</v>
      </c>
      <c r="O25" s="62">
        <f t="shared" si="1"/>
        <v>286.10900000000004</v>
      </c>
      <c r="P25" s="62">
        <f t="shared" si="2"/>
        <v>48.924639000000006</v>
      </c>
      <c r="Q25" s="62">
        <f t="shared" si="3"/>
        <v>14.30545</v>
      </c>
      <c r="R25" s="62">
        <f t="shared" si="4"/>
        <v>14.30545</v>
      </c>
      <c r="S25" s="43">
        <v>0</v>
      </c>
      <c r="T25" s="43">
        <f t="shared" si="5"/>
        <v>363.64453900000007</v>
      </c>
      <c r="U25" s="43">
        <f t="shared" si="6"/>
        <v>2497.4454610000003</v>
      </c>
      <c r="V25" s="44"/>
      <c r="X25" s="45"/>
    </row>
    <row r="26" spans="1:24" ht="22.5" customHeight="1">
      <c r="A26" s="57">
        <v>16</v>
      </c>
      <c r="B26" s="21" t="s">
        <v>96</v>
      </c>
      <c r="C26" s="21" t="s">
        <v>181</v>
      </c>
      <c r="D26" s="20"/>
      <c r="E26" s="22" t="s">
        <v>40</v>
      </c>
      <c r="F26" s="41" t="s">
        <v>40</v>
      </c>
      <c r="G26" s="59">
        <v>45689</v>
      </c>
      <c r="H26" s="63">
        <v>5</v>
      </c>
      <c r="I26" s="64"/>
      <c r="J26" s="14">
        <v>30</v>
      </c>
      <c r="K26" s="62">
        <v>2750</v>
      </c>
      <c r="L26" s="62"/>
      <c r="M26" s="43">
        <v>0</v>
      </c>
      <c r="N26" s="62">
        <f t="shared" si="0"/>
        <v>2750</v>
      </c>
      <c r="O26" s="62">
        <f t="shared" si="1"/>
        <v>275</v>
      </c>
      <c r="P26" s="62">
        <f t="shared" si="2"/>
        <v>47.024999999999999</v>
      </c>
      <c r="Q26" s="62">
        <f t="shared" si="3"/>
        <v>13.75</v>
      </c>
      <c r="R26" s="62">
        <f t="shared" si="4"/>
        <v>13.75</v>
      </c>
      <c r="S26" s="43">
        <v>0</v>
      </c>
      <c r="T26" s="43">
        <f t="shared" si="5"/>
        <v>349.52499999999998</v>
      </c>
      <c r="U26" s="43">
        <f t="shared" si="6"/>
        <v>2400.4749999999999</v>
      </c>
      <c r="V26" s="44"/>
      <c r="X26" s="45"/>
    </row>
    <row r="27" spans="1:24" ht="22.5" customHeight="1">
      <c r="A27" s="57">
        <v>17</v>
      </c>
      <c r="B27" s="41" t="s">
        <v>82</v>
      </c>
      <c r="C27" s="41" t="s">
        <v>83</v>
      </c>
      <c r="D27" s="42"/>
      <c r="E27" s="14"/>
      <c r="F27" s="41" t="s">
        <v>36</v>
      </c>
      <c r="G27" s="59">
        <v>45689</v>
      </c>
      <c r="H27" s="40">
        <v>5</v>
      </c>
      <c r="J27" s="15">
        <v>30</v>
      </c>
      <c r="K27" s="38">
        <v>2750</v>
      </c>
      <c r="L27" s="62"/>
      <c r="M27" s="43">
        <v>0</v>
      </c>
      <c r="N27" s="62">
        <f t="shared" si="0"/>
        <v>2750</v>
      </c>
      <c r="O27" s="62">
        <f t="shared" si="1"/>
        <v>275</v>
      </c>
      <c r="P27" s="62">
        <f t="shared" si="2"/>
        <v>47.024999999999999</v>
      </c>
      <c r="Q27" s="62">
        <f t="shared" si="3"/>
        <v>13.75</v>
      </c>
      <c r="R27" s="62">
        <f t="shared" si="4"/>
        <v>13.75</v>
      </c>
      <c r="S27" s="43">
        <v>0</v>
      </c>
      <c r="T27" s="43">
        <f t="shared" si="5"/>
        <v>349.52499999999998</v>
      </c>
      <c r="U27" s="43">
        <f t="shared" si="6"/>
        <v>2400.4749999999999</v>
      </c>
      <c r="V27" s="44"/>
      <c r="X27" s="45"/>
    </row>
    <row r="28" spans="1:24" ht="22.5" customHeight="1">
      <c r="A28" s="57">
        <v>18</v>
      </c>
      <c r="B28" s="41" t="s">
        <v>35</v>
      </c>
      <c r="C28" s="41" t="s">
        <v>64</v>
      </c>
      <c r="D28" s="42"/>
      <c r="E28" s="14"/>
      <c r="F28" s="41" t="s">
        <v>36</v>
      </c>
      <c r="G28" s="59">
        <v>45689</v>
      </c>
      <c r="H28" s="40">
        <v>5</v>
      </c>
      <c r="J28" s="15">
        <v>30</v>
      </c>
      <c r="K28" s="38">
        <v>2750</v>
      </c>
      <c r="L28" s="62"/>
      <c r="M28" s="43">
        <v>0</v>
      </c>
      <c r="N28" s="62">
        <f t="shared" si="0"/>
        <v>2750</v>
      </c>
      <c r="O28" s="62">
        <f t="shared" si="1"/>
        <v>275</v>
      </c>
      <c r="P28" s="62">
        <f t="shared" si="2"/>
        <v>47.024999999999999</v>
      </c>
      <c r="Q28" s="62">
        <f t="shared" si="3"/>
        <v>13.75</v>
      </c>
      <c r="R28" s="62">
        <f t="shared" si="4"/>
        <v>13.75</v>
      </c>
      <c r="S28" s="43">
        <v>0</v>
      </c>
      <c r="T28" s="43">
        <f t="shared" si="5"/>
        <v>349.52499999999998</v>
      </c>
      <c r="U28" s="43">
        <f t="shared" si="6"/>
        <v>2400.4749999999999</v>
      </c>
      <c r="V28" s="44"/>
      <c r="X28" s="45"/>
    </row>
    <row r="29" spans="1:24" ht="22.5" customHeight="1">
      <c r="A29" s="57">
        <v>19</v>
      </c>
      <c r="B29" s="41" t="s">
        <v>77</v>
      </c>
      <c r="C29" s="41" t="s">
        <v>78</v>
      </c>
      <c r="D29" s="42"/>
      <c r="E29" s="14"/>
      <c r="F29" s="41" t="s">
        <v>32</v>
      </c>
      <c r="G29" s="59">
        <v>45689</v>
      </c>
      <c r="H29" s="40">
        <v>5</v>
      </c>
      <c r="J29" s="15">
        <v>30</v>
      </c>
      <c r="K29" s="38">
        <v>2750.11</v>
      </c>
      <c r="L29" s="62"/>
      <c r="M29" s="43">
        <v>0</v>
      </c>
      <c r="N29" s="62">
        <f t="shared" si="0"/>
        <v>2750.11</v>
      </c>
      <c r="O29" s="62">
        <f t="shared" si="1"/>
        <v>275.01100000000002</v>
      </c>
      <c r="P29" s="62">
        <f t="shared" si="2"/>
        <v>47.026881000000003</v>
      </c>
      <c r="Q29" s="62">
        <f t="shared" si="3"/>
        <v>13.75055</v>
      </c>
      <c r="R29" s="62">
        <f t="shared" si="4"/>
        <v>13.75055</v>
      </c>
      <c r="S29" s="43">
        <v>0</v>
      </c>
      <c r="T29" s="43">
        <f t="shared" si="5"/>
        <v>349.53898099999998</v>
      </c>
      <c r="U29" s="43">
        <f t="shared" si="6"/>
        <v>2400.571019</v>
      </c>
      <c r="V29" s="44"/>
      <c r="X29" s="45"/>
    </row>
    <row r="30" spans="1:24" ht="22.5" customHeight="1">
      <c r="A30" s="57">
        <v>20</v>
      </c>
      <c r="B30" s="41" t="s">
        <v>43</v>
      </c>
      <c r="C30" s="41" t="s">
        <v>124</v>
      </c>
      <c r="D30" s="42"/>
      <c r="E30" s="14"/>
      <c r="F30" s="41" t="s">
        <v>36</v>
      </c>
      <c r="G30" s="59">
        <v>45689</v>
      </c>
      <c r="H30" s="40">
        <v>4</v>
      </c>
      <c r="I30" s="76"/>
      <c r="J30" s="75">
        <v>30</v>
      </c>
      <c r="K30" s="68">
        <v>2750</v>
      </c>
      <c r="L30" s="69"/>
      <c r="M30" s="43">
        <v>0</v>
      </c>
      <c r="N30" s="62">
        <f t="shared" si="0"/>
        <v>2750</v>
      </c>
      <c r="O30" s="62">
        <f t="shared" si="1"/>
        <v>275</v>
      </c>
      <c r="P30" s="62">
        <f t="shared" si="2"/>
        <v>47.024999999999999</v>
      </c>
      <c r="Q30" s="62">
        <f t="shared" si="3"/>
        <v>13.75</v>
      </c>
      <c r="R30" s="62">
        <f t="shared" si="4"/>
        <v>13.75</v>
      </c>
      <c r="S30" s="43">
        <v>0</v>
      </c>
      <c r="T30" s="43">
        <f t="shared" si="5"/>
        <v>349.52499999999998</v>
      </c>
      <c r="U30" s="43">
        <f t="shared" si="6"/>
        <v>2400.4749999999999</v>
      </c>
      <c r="V30" s="44"/>
      <c r="X30" s="45"/>
    </row>
    <row r="31" spans="1:24" ht="22.5" customHeight="1">
      <c r="A31" s="57">
        <v>21</v>
      </c>
      <c r="B31" s="41" t="s">
        <v>37</v>
      </c>
      <c r="C31" s="41" t="s">
        <v>38</v>
      </c>
      <c r="D31" s="42"/>
      <c r="E31" s="14"/>
      <c r="F31" s="41" t="s">
        <v>34</v>
      </c>
      <c r="G31" s="59">
        <v>45689</v>
      </c>
      <c r="H31" s="40">
        <v>5</v>
      </c>
      <c r="I31" s="76"/>
      <c r="J31" s="75">
        <v>30</v>
      </c>
      <c r="K31" s="68">
        <v>2750</v>
      </c>
      <c r="L31" s="69"/>
      <c r="M31" s="43">
        <v>0</v>
      </c>
      <c r="N31" s="62">
        <f t="shared" si="0"/>
        <v>2750</v>
      </c>
      <c r="O31" s="62">
        <f t="shared" si="1"/>
        <v>275</v>
      </c>
      <c r="P31" s="62">
        <f t="shared" si="2"/>
        <v>47.024999999999999</v>
      </c>
      <c r="Q31" s="62">
        <f t="shared" si="3"/>
        <v>13.75</v>
      </c>
      <c r="R31" s="62">
        <f t="shared" si="4"/>
        <v>13.75</v>
      </c>
      <c r="S31" s="43">
        <v>0</v>
      </c>
      <c r="T31" s="43">
        <f t="shared" si="5"/>
        <v>349.52499999999998</v>
      </c>
      <c r="U31" s="43">
        <f t="shared" si="6"/>
        <v>2400.4749999999999</v>
      </c>
      <c r="V31" s="44"/>
      <c r="X31" s="45"/>
    </row>
    <row r="32" spans="1:24" s="18" customFormat="1" ht="21" customHeight="1">
      <c r="A32" s="33"/>
      <c r="B32" s="34"/>
      <c r="C32" s="35" t="s">
        <v>22</v>
      </c>
      <c r="D32" s="34"/>
      <c r="E32" s="36"/>
      <c r="F32" s="34"/>
      <c r="G32" s="34"/>
      <c r="H32" s="65"/>
      <c r="I32" s="65"/>
      <c r="J32" s="37"/>
      <c r="K32" s="32">
        <f>SUM(K11:K31)</f>
        <v>64220.069999999992</v>
      </c>
      <c r="L32" s="32"/>
      <c r="M32" s="32">
        <f>SUM(M16:M29)</f>
        <v>0</v>
      </c>
      <c r="N32" s="32">
        <f>SUM(N11:N31)</f>
        <v>64220.069999999992</v>
      </c>
      <c r="O32" s="32">
        <f>SUM(O11:O31)</f>
        <v>6422.0070000000005</v>
      </c>
      <c r="P32" s="32">
        <f>SUM(P11:P31)</f>
        <v>1098.1631970000001</v>
      </c>
      <c r="Q32" s="32">
        <f>SUM(Q11:Q31)</f>
        <v>321.10035000000005</v>
      </c>
      <c r="R32" s="32">
        <f>SUM(R11:R31)</f>
        <v>321.10035000000005</v>
      </c>
      <c r="S32" s="32">
        <f>SUM(S16:S31)</f>
        <v>0</v>
      </c>
      <c r="T32" s="32">
        <f>SUM(T11:T31)</f>
        <v>8162.3708969999971</v>
      </c>
      <c r="U32" s="32">
        <f>SUM(U11:U31)</f>
        <v>56057.699102999999</v>
      </c>
      <c r="V32" s="19"/>
    </row>
    <row r="33" spans="1:26" s="18" customFormat="1" ht="9.75" customHeight="1">
      <c r="A33"/>
      <c r="B33"/>
      <c r="C33"/>
      <c r="D33"/>
      <c r="E33" s="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3">
        <f>SUM(T32:T32)</f>
        <v>8162.3708969999971</v>
      </c>
      <c r="U33" s="23"/>
    </row>
    <row r="34" spans="1:26" s="18" customFormat="1">
      <c r="A34"/>
      <c r="B34"/>
      <c r="C34"/>
      <c r="D34"/>
      <c r="E34" s="9"/>
      <c r="F34"/>
      <c r="G34"/>
      <c r="H34"/>
      <c r="I34"/>
      <c r="J34"/>
      <c r="K34"/>
      <c r="L34"/>
      <c r="M34"/>
      <c r="N34" s="46"/>
      <c r="O34"/>
      <c r="P34"/>
      <c r="Q34"/>
      <c r="R34"/>
      <c r="S34"/>
      <c r="T34"/>
      <c r="U34"/>
      <c r="V34"/>
      <c r="Y34"/>
      <c r="Z34"/>
    </row>
    <row r="35" spans="1:26" s="18" customFormat="1">
      <c r="A35"/>
      <c r="B35"/>
      <c r="C35"/>
      <c r="D35"/>
      <c r="E35" s="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6" s="18" customFormat="1">
      <c r="A36"/>
      <c r="B36"/>
      <c r="C36"/>
      <c r="D36"/>
      <c r="E36" s="9"/>
      <c r="F36"/>
      <c r="G36"/>
      <c r="H36"/>
      <c r="I36"/>
      <c r="J36"/>
      <c r="K36" t="s">
        <v>273</v>
      </c>
      <c r="L36"/>
      <c r="M36"/>
      <c r="N36"/>
      <c r="O36"/>
      <c r="P36"/>
      <c r="Q36"/>
      <c r="R36"/>
      <c r="S36"/>
      <c r="T36"/>
      <c r="U36"/>
      <c r="V36"/>
    </row>
    <row r="41" spans="1:26">
      <c r="C41" s="46">
        <f>N32</f>
        <v>64220.069999999992</v>
      </c>
    </row>
    <row r="42" spans="1:26">
      <c r="C42" s="46">
        <v>13235.49</v>
      </c>
    </row>
    <row r="43" spans="1:26">
      <c r="C43" s="46">
        <f>SUM(C41:C42)</f>
        <v>77455.56</v>
      </c>
    </row>
    <row r="46" spans="1:26">
      <c r="C46" s="219">
        <f>N32*10%</f>
        <v>6422.0069999999996</v>
      </c>
      <c r="F46" t="s">
        <v>264</v>
      </c>
    </row>
    <row r="49" spans="3:6">
      <c r="C49" s="202">
        <f>C43*13.92%</f>
        <v>10781.813951999999</v>
      </c>
      <c r="F49" s="203" t="s">
        <v>265</v>
      </c>
    </row>
    <row r="50" spans="3:6">
      <c r="C50" s="202">
        <f>C43*2%</f>
        <v>1549.1112000000001</v>
      </c>
      <c r="F50" s="204">
        <v>0.02</v>
      </c>
    </row>
    <row r="51" spans="3:6">
      <c r="C51" s="202">
        <f>C43*3.5%</f>
        <v>2710.9446000000003</v>
      </c>
      <c r="F51" s="203">
        <v>3.5000000000000003E-2</v>
      </c>
    </row>
    <row r="52" spans="3:6">
      <c r="C52" s="202">
        <f>C43*0.5%</f>
        <v>387.27780000000001</v>
      </c>
      <c r="F52" s="203">
        <v>5.0000000000000001E-3</v>
      </c>
    </row>
    <row r="53" spans="3:6">
      <c r="C53" s="220">
        <f>SUM(C49:C52)</f>
        <v>15429.147551999999</v>
      </c>
    </row>
    <row r="56" spans="3:6" ht="15.75" thickBot="1">
      <c r="C56" s="221">
        <f>C46+C53</f>
        <v>21851.154552</v>
      </c>
      <c r="F56" t="s">
        <v>266</v>
      </c>
    </row>
    <row r="57" spans="3:6" ht="15.75" thickTop="1"/>
  </sheetData>
  <mergeCells count="17">
    <mergeCell ref="V8:V10"/>
    <mergeCell ref="K8:K10"/>
    <mergeCell ref="M8:M10"/>
    <mergeCell ref="N8:N10"/>
    <mergeCell ref="O8:S8"/>
    <mergeCell ref="T8:T10"/>
    <mergeCell ref="U8:U10"/>
    <mergeCell ref="A4:V4"/>
    <mergeCell ref="A5:V5"/>
    <mergeCell ref="A6:V6"/>
    <mergeCell ref="A8:A10"/>
    <mergeCell ref="B8:B10"/>
    <mergeCell ref="C8:C10"/>
    <mergeCell ref="D8:D10"/>
    <mergeCell ref="E8:E10"/>
    <mergeCell ref="F8:F10"/>
    <mergeCell ref="G8:G10"/>
  </mergeCells>
  <pageMargins left="0.19685039370078741" right="0" top="0" bottom="0" header="0.27559055118110237" footer="0.31496062992125984"/>
  <pageSetup paperSize="5" scale="8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70</vt:i4>
      </vt:variant>
    </vt:vector>
  </HeadingPairs>
  <TitlesOfParts>
    <vt:vector size="70" baseType="lpstr">
      <vt:lpstr>DICIEMBRE 2020</vt:lpstr>
      <vt:lpstr>NOVIEMBRE 2020</vt:lpstr>
      <vt:lpstr>AGUINALDO 2020 </vt:lpstr>
      <vt:lpstr>AGUINALDO 2020 INT</vt:lpstr>
      <vt:lpstr>ENERO 2021</vt:lpstr>
      <vt:lpstr>FEBRERO 2021</vt:lpstr>
      <vt:lpstr>MARZO 2021</vt:lpstr>
      <vt:lpstr>ABRIL 2021</vt:lpstr>
      <vt:lpstr>RETROACTIVO DE ENERO A ABRIL 21</vt:lpstr>
      <vt:lpstr>MAYO 2021</vt:lpstr>
      <vt:lpstr>RETROACTIVO DE ENERO A ABRI (2)</vt:lpstr>
      <vt:lpstr>JUNIO 2021</vt:lpstr>
      <vt:lpstr>JULIO 2021</vt:lpstr>
      <vt:lpstr>AGOSTO 2021</vt:lpstr>
      <vt:lpstr>SEPTIEMBRE 2021</vt:lpstr>
      <vt:lpstr>OCTUBRE 2021</vt:lpstr>
      <vt:lpstr>NOVIEMBRE 2021</vt:lpstr>
      <vt:lpstr>AGUINALDO</vt:lpstr>
      <vt:lpstr>DICIEMBRE 2021 </vt:lpstr>
      <vt:lpstr>ENERO 2022</vt:lpstr>
      <vt:lpstr>FEBRERO 2022</vt:lpstr>
      <vt:lpstr>MARZO 2022</vt:lpstr>
      <vt:lpstr>ABRIL 2022</vt:lpstr>
      <vt:lpstr>MAYO 2022</vt:lpstr>
      <vt:lpstr>RETROACTIVO ENERO-ABRI 2022</vt:lpstr>
      <vt:lpstr>JUNIO 2022</vt:lpstr>
      <vt:lpstr>JULIO 2022</vt:lpstr>
      <vt:lpstr>AGOSTO 2022</vt:lpstr>
      <vt:lpstr>SEPTIEMBRE 2022</vt:lpstr>
      <vt:lpstr>OCTUBRE 2022</vt:lpstr>
      <vt:lpstr>NOVIEMBRE 2022</vt:lpstr>
      <vt:lpstr>AGUINALDO 2022</vt:lpstr>
      <vt:lpstr>DICIEMBRE 2022</vt:lpstr>
      <vt:lpstr>ENERO 2023</vt:lpstr>
      <vt:lpstr>FEBRERO 2023</vt:lpstr>
      <vt:lpstr>MARZO 2023</vt:lpstr>
      <vt:lpstr>ABRIL 2023</vt:lpstr>
      <vt:lpstr>RETROACTIVO DE ENERO A ABRIL 23</vt:lpstr>
      <vt:lpstr>MAYO 2023</vt:lpstr>
      <vt:lpstr>JUNIO 2023</vt:lpstr>
      <vt:lpstr>JULIO 2023</vt:lpstr>
      <vt:lpstr>AGOSTO 2023</vt:lpstr>
      <vt:lpstr>SEPTIEMBRE 2023</vt:lpstr>
      <vt:lpstr>OCTUBRE 2023</vt:lpstr>
      <vt:lpstr>NOVIEMBRE 2023</vt:lpstr>
      <vt:lpstr>AGUINALDO 2023</vt:lpstr>
      <vt:lpstr>DICIEMBRE 2023</vt:lpstr>
      <vt:lpstr>ENERO 2024</vt:lpstr>
      <vt:lpstr>FEBRERO 2024</vt:lpstr>
      <vt:lpstr>MARZO 2024</vt:lpstr>
      <vt:lpstr>ABRIL 2024</vt:lpstr>
      <vt:lpstr>RETROCTIVO DE ENRO A ABRIL</vt:lpstr>
      <vt:lpstr>MAYO 2024</vt:lpstr>
      <vt:lpstr>JUNIO 2024</vt:lpstr>
      <vt:lpstr>JULIO 2024</vt:lpstr>
      <vt:lpstr>JULIO 2024 (2)</vt:lpstr>
      <vt:lpstr>AGOSTO 2024</vt:lpstr>
      <vt:lpstr>SEPTIEMBRE 2024</vt:lpstr>
      <vt:lpstr>OCTUBRE 2024</vt:lpstr>
      <vt:lpstr>NOVIEMBRE 2024</vt:lpstr>
      <vt:lpstr>AGUINALDO 2024</vt:lpstr>
      <vt:lpstr>DICIEMBRE 2024</vt:lpstr>
      <vt:lpstr>ENERO 2025</vt:lpstr>
      <vt:lpstr>FEBRERO 2025</vt:lpstr>
      <vt:lpstr>FEBRERO 2025 (2)</vt:lpstr>
      <vt:lpstr>ABRIL 2025</vt:lpstr>
      <vt:lpstr>MAYO 2025</vt:lpstr>
      <vt:lpstr>JUNIO 2025</vt:lpstr>
      <vt:lpstr>RETROACTIVO 2025</vt:lpstr>
      <vt:lpstr>AGOSTO 2025</vt:lpstr>
    </vt:vector>
  </TitlesOfParts>
  <Company>Familia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REDADA</dc:creator>
  <cp:lastModifiedBy>PC</cp:lastModifiedBy>
  <cp:lastPrinted>2023-09-29T01:01:37Z</cp:lastPrinted>
  <dcterms:created xsi:type="dcterms:W3CDTF">2011-02-08T16:28:30Z</dcterms:created>
  <dcterms:modified xsi:type="dcterms:W3CDTF">2025-09-30T05:01:35Z</dcterms:modified>
</cp:coreProperties>
</file>